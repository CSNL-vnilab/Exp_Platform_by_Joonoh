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CSNL_new/people/JOP/Lab Chore/참여자비 청구/"/>
    </mc:Choice>
  </mc:AlternateContent>
  <xr:revisionPtr revIDLastSave="0" documentId="13_ncr:1_{D9BABE41-AB5D-5346-974C-8B555AB5BB83}" xr6:coauthVersionLast="47" xr6:coauthVersionMax="47" xr10:uidLastSave="{00000000-0000-0000-0000-000000000000}"/>
  <bookViews>
    <workbookView xWindow="7440" yWindow="4640" windowWidth="28800" windowHeight="19680" xr2:uid="{A0248ADB-0D3F-4428-9883-3E26109B8A99}"/>
  </bookViews>
  <sheets>
    <sheet name="17" sheetId="1" r:id="rId1"/>
  </sheets>
  <externalReferences>
    <externalReference r:id="rId2"/>
    <externalReference r:id="rId3"/>
  </externalReferences>
  <definedNames>
    <definedName name="_xlnm.Print_Area" localSheetId="0">'17'!$A$2:$L$45,'17'!$N$3:$R$45,'17'!$T$2:$AE$45</definedName>
    <definedName name="국가명">[1]Sheet2!$A$2:$A$267</definedName>
    <definedName name="도시">#REF!</definedName>
    <definedName name="연건">#REF!</definedName>
    <definedName name="이름">'[2]3'!$B$12:$B$36</definedName>
    <definedName name="통상거리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AD41" i="1"/>
  <c r="K41" i="1"/>
  <c r="T39" i="1"/>
  <c r="A39" i="1"/>
  <c r="AE19" i="1"/>
  <c r="AD10" i="1"/>
  <c r="K10" i="1"/>
  <c r="Z7" i="1"/>
  <c r="U7" i="1"/>
  <c r="G7" i="1"/>
  <c r="B7" i="1"/>
  <c r="Z6" i="1"/>
  <c r="U6" i="1"/>
  <c r="G6" i="1"/>
  <c r="B6" i="1"/>
  <c r="Z5" i="1"/>
  <c r="U5" i="1"/>
  <c r="G5" i="1"/>
</calcChain>
</file>

<file path=xl/sharedStrings.xml><?xml version="1.0" encoding="utf-8"?>
<sst xmlns="http://schemas.openxmlformats.org/spreadsheetml/2006/main" count="195" uniqueCount="170">
  <si>
    <t>[국문]</t>
    <phoneticPr fontId="3" type="noConversion"/>
  </si>
  <si>
    <t>[영문]</t>
    <phoneticPr fontId="3" type="noConversion"/>
  </si>
  <si>
    <t>전문가활용비 사용내역서</t>
    <phoneticPr fontId="3" type="noConversion"/>
  </si>
  <si>
    <t>Request for Expert expenses</t>
    <phoneticPr fontId="3" type="noConversion"/>
  </si>
  <si>
    <t>SRnD 과제번호</t>
    <phoneticPr fontId="0" type="Hiragana"/>
  </si>
  <si>
    <t>연구책임자</t>
    <phoneticPr fontId="0" type="Hiragana"/>
  </si>
  <si>
    <t>&lt;표 5&gt; 회의수당.원고료.강사료. 자문료 정액표</t>
    <phoneticPr fontId="3" type="noConversion"/>
  </si>
  <si>
    <t>SRnD No.</t>
    <phoneticPr fontId="0" type="Hiragana"/>
  </si>
  <si>
    <t>Principal Investigator</t>
    <phoneticPr fontId="0" type="Hiragana"/>
  </si>
  <si>
    <t>연구과제명</t>
    <phoneticPr fontId="3" type="noConversion"/>
  </si>
  <si>
    <t>지원기관</t>
    <phoneticPr fontId="3" type="noConversion"/>
  </si>
  <si>
    <t>(단위:원)</t>
    <phoneticPr fontId="3" type="noConversion"/>
  </si>
  <si>
    <t>Project Title</t>
    <phoneticPr fontId="3" type="noConversion"/>
  </si>
  <si>
    <t>Funding Institution</t>
    <phoneticPr fontId="3" type="noConversion"/>
  </si>
  <si>
    <t>연구기간</t>
    <phoneticPr fontId="3" type="noConversion"/>
  </si>
  <si>
    <t>지원사업</t>
    <phoneticPr fontId="0" type="Hiragana"/>
  </si>
  <si>
    <t>구 분</t>
  </si>
  <si>
    <t>회의수당</t>
  </si>
  <si>
    <t>원고료</t>
  </si>
  <si>
    <t>강사료</t>
  </si>
  <si>
    <t>자문료 등</t>
  </si>
  <si>
    <t>Duration</t>
    <phoneticPr fontId="3" type="noConversion"/>
  </si>
  <si>
    <t>Program Title</t>
    <phoneticPr fontId="0" type="Hiragana"/>
  </si>
  <si>
    <t>(1회/3시간이내)</t>
  </si>
  <si>
    <t>(A4 1장당)</t>
  </si>
  <si>
    <t>(1시간 당)</t>
  </si>
  <si>
    <t>구분</t>
  </si>
  <si>
    <t>피험자사례비</t>
  </si>
  <si>
    <t>대면/비대면</t>
    <phoneticPr fontId="3" type="noConversion"/>
  </si>
  <si>
    <t>구분</t>
    <phoneticPr fontId="3" type="noConversion"/>
  </si>
  <si>
    <t>연구책임자 급</t>
    <phoneticPr fontId="3" type="noConversion"/>
  </si>
  <si>
    <t>250,000 이하</t>
    <phoneticPr fontId="3" type="noConversion"/>
  </si>
  <si>
    <t>100,000 이하</t>
    <phoneticPr fontId="3" type="noConversion"/>
  </si>
  <si>
    <t>1,000,000 이하</t>
  </si>
  <si>
    <t>150,000 이하</t>
  </si>
  <si>
    <t>Type</t>
    <phoneticPr fontId="3" type="noConversion"/>
  </si>
  <si>
    <t>Lecture</t>
  </si>
  <si>
    <t>Contact/Untact</t>
    <phoneticPr fontId="3" type="noConversion"/>
  </si>
  <si>
    <t>기간</t>
    <phoneticPr fontId="3" type="noConversion"/>
  </si>
  <si>
    <t>활용일자</t>
    <phoneticPr fontId="3" type="noConversion"/>
  </si>
  <si>
    <t>활용시간</t>
    <phoneticPr fontId="3" type="noConversion"/>
  </si>
  <si>
    <t>~</t>
    <phoneticPr fontId="3" type="noConversion"/>
  </si>
  <si>
    <t>=</t>
    <phoneticPr fontId="3" type="noConversion"/>
  </si>
  <si>
    <t>시간</t>
    <phoneticPr fontId="3" type="noConversion"/>
  </si>
  <si>
    <t>Period</t>
    <phoneticPr fontId="3" type="noConversion"/>
  </si>
  <si>
    <t>Date</t>
    <phoneticPr fontId="3" type="noConversion"/>
  </si>
  <si>
    <t>Time</t>
    <phoneticPr fontId="3" type="noConversion"/>
  </si>
  <si>
    <t>hours</t>
    <phoneticPr fontId="3" type="noConversion"/>
  </si>
  <si>
    <t>시간/회당/장</t>
    <phoneticPr fontId="3" type="noConversion"/>
  </si>
  <si>
    <t>시간</t>
  </si>
  <si>
    <t>직급(직위)</t>
    <phoneticPr fontId="3" type="noConversion"/>
  </si>
  <si>
    <t>장소</t>
    <phoneticPr fontId="3" type="noConversion"/>
  </si>
  <si>
    <t>연구자 급</t>
    <phoneticPr fontId="3" type="noConversion"/>
  </si>
  <si>
    <t>200,000 이하</t>
  </si>
  <si>
    <t>800,000 이하</t>
  </si>
  <si>
    <t>100,000 이하</t>
  </si>
  <si>
    <t>Unit</t>
    <phoneticPr fontId="3" type="noConversion"/>
  </si>
  <si>
    <t>hour(s)</t>
  </si>
  <si>
    <t>Position</t>
    <phoneticPr fontId="3" type="noConversion"/>
  </si>
  <si>
    <t>Superior(Senior)</t>
  </si>
  <si>
    <t>Place</t>
    <phoneticPr fontId="3" type="noConversion"/>
  </si>
  <si>
    <t>제목</t>
  </si>
  <si>
    <t>Title</t>
    <phoneticPr fontId="3" type="noConversion"/>
  </si>
  <si>
    <t>목적
(활용내용)</t>
    <phoneticPr fontId="3" type="noConversion"/>
  </si>
  <si>
    <t>※ 회의수당은 3시간을 초과할 경우 30만원까지 지급가능
※ 외부소속(기업 및 정부출연기관 등)인 자의 경우 직위 및 업무 중요도를 고려하여 적용</t>
    <phoneticPr fontId="3" type="noConversion"/>
  </si>
  <si>
    <t>Contents</t>
    <phoneticPr fontId="3" type="noConversion"/>
  </si>
  <si>
    <t>지급내역</t>
  </si>
  <si>
    <t>인적사항</t>
    <phoneticPr fontId="3" type="noConversion"/>
  </si>
  <si>
    <t>계좌이체정보</t>
    <phoneticPr fontId="0" type="Hiragana"/>
  </si>
  <si>
    <t>※ 「부정청탁 및 금품 등 수수의 금지에 관한 법률」 제2조 제2호 가목 및 나목에 해당하는 
공무원, 공직유관단체 및 기관의 장과 그 임직원 등에 대한 강사료는 동 법률 및 그 시행령을 따름</t>
    <phoneticPr fontId="3" type="noConversion"/>
  </si>
  <si>
    <t>Payment</t>
    <phoneticPr fontId="3" type="noConversion"/>
  </si>
  <si>
    <t>Personal Information</t>
    <phoneticPr fontId="3" type="noConversion"/>
  </si>
  <si>
    <t>Recipient's Bank</t>
    <phoneticPr fontId="0" type="Hiragana"/>
  </si>
  <si>
    <t>이름</t>
    <phoneticPr fontId="3" type="noConversion"/>
  </si>
  <si>
    <t>소속</t>
    <phoneticPr fontId="3" type="noConversion"/>
  </si>
  <si>
    <t>주민등록번호</t>
    <phoneticPr fontId="3" type="noConversion"/>
  </si>
  <si>
    <t>이메일주소</t>
    <phoneticPr fontId="3" type="noConversion"/>
  </si>
  <si>
    <t>은행명</t>
    <phoneticPr fontId="3" type="noConversion"/>
  </si>
  <si>
    <t>계좌번호</t>
    <phoneticPr fontId="3" type="noConversion"/>
  </si>
  <si>
    <t>예금주</t>
    <phoneticPr fontId="3" type="noConversion"/>
  </si>
  <si>
    <t>&lt;표 8&gt; 번역료 정액표</t>
    <phoneticPr fontId="3" type="noConversion"/>
  </si>
  <si>
    <t>Name</t>
    <phoneticPr fontId="3" type="noConversion"/>
  </si>
  <si>
    <t>Institution
(Dept.)</t>
    <phoneticPr fontId="3" type="noConversion"/>
  </si>
  <si>
    <t>Passport No,</t>
    <phoneticPr fontId="3" type="noConversion"/>
  </si>
  <si>
    <t>E-mail</t>
    <phoneticPr fontId="3" type="noConversion"/>
  </si>
  <si>
    <t>Bank Name</t>
    <phoneticPr fontId="3" type="noConversion"/>
  </si>
  <si>
    <t>A/C No.</t>
    <phoneticPr fontId="3" type="noConversion"/>
  </si>
  <si>
    <t>Recipient</t>
    <phoneticPr fontId="3" type="noConversion"/>
  </si>
  <si>
    <t>활용비</t>
    <phoneticPr fontId="3" type="noConversion"/>
  </si>
  <si>
    <t>출장경비</t>
    <phoneticPr fontId="3" type="noConversion"/>
  </si>
  <si>
    <t>총액</t>
  </si>
  <si>
    <t>외국어 → 한국어</t>
    <phoneticPr fontId="3" type="noConversion"/>
  </si>
  <si>
    <t>한국어 → 외국어</t>
    <phoneticPr fontId="3" type="noConversion"/>
  </si>
  <si>
    <t>비고</t>
    <phoneticPr fontId="3" type="noConversion"/>
  </si>
  <si>
    <t>(Signature)</t>
    <phoneticPr fontId="3" type="noConversion"/>
  </si>
  <si>
    <t>Honorarium</t>
    <phoneticPr fontId="3" type="noConversion"/>
  </si>
  <si>
    <t>Travel Expenses</t>
    <phoneticPr fontId="3" type="noConversion"/>
  </si>
  <si>
    <t>Total</t>
    <phoneticPr fontId="3" type="noConversion"/>
  </si>
  <si>
    <t>항공료</t>
  </si>
  <si>
    <t>교통료</t>
  </si>
  <si>
    <t>체재비</t>
  </si>
  <si>
    <t>숙박비</t>
  </si>
  <si>
    <t>70,000 이하</t>
    <phoneticPr fontId="3" type="noConversion"/>
  </si>
  <si>
    <t>­번역료는 번역결과물(output)를 기준으로 산정
­한국어, 일어, 중국어 띄어쓰기포함 800자, 그 외 외국어 230words기준
­외국어→외국어의 번역일 경우 최대 해당 외국어→한국어와 한국어→외국어의 단가를 합한 금액 이하로 책정</t>
    <phoneticPr fontId="3" type="noConversion"/>
  </si>
  <si>
    <t>Airfare</t>
    <phoneticPr fontId="3" type="noConversion"/>
  </si>
  <si>
    <t>Transportation</t>
    <phoneticPr fontId="3" type="noConversion"/>
  </si>
  <si>
    <t>Per diem</t>
    <phoneticPr fontId="3" type="noConversion"/>
  </si>
  <si>
    <t>Accomodations</t>
    <phoneticPr fontId="3" type="noConversion"/>
  </si>
  <si>
    <t>&lt; 개인정보 수집·이용 동의 &gt;</t>
    <phoneticPr fontId="15" type="noConversion"/>
  </si>
  <si>
    <t>&lt;Personal information collection/utilization agreement&gt;</t>
    <phoneticPr fontId="15" type="noConversion"/>
  </si>
  <si>
    <t>▶ 서울대학교 산학협력단에서는 연구관리 용도로 개인정보(고유식별정보 포함)를 보유하고 있습니다.</t>
    <phoneticPr fontId="3" type="noConversion"/>
  </si>
  <si>
    <t>▶ SNU R&amp;D foundation is retaining your personal information (including personal identification number) for research management purposes.
  ▪ Essential information: name, affiliation, position, account number, personal identification number, nationality, phone number, E-mail.
  ▪ Purpose of the information retaining: research management related affairs including payment of the personnel expenses and incentive, tax affairs report, career certificate issuance.
▶ The collected personal information is maintained for five years in accordance with the provision of article 28 (preservation of the related documents) of the &lt;Seoul National University research funds management regulation&gt;
▶ You can disagree the collection of the personal information. In this case, however, payment of the personnel expenses and incentive can be restricted.</t>
    <phoneticPr fontId="3" type="noConversion"/>
  </si>
  <si>
    <r>
      <rPr>
        <sz val="10"/>
        <color theme="1"/>
        <rFont val="Segoe UI Symbol"/>
        <family val="2"/>
      </rPr>
      <t xml:space="preserve">  ▪</t>
    </r>
    <r>
      <rPr>
        <sz val="10"/>
        <color theme="1"/>
        <rFont val="Calibri"/>
        <family val="2"/>
        <charset val="129"/>
        <scheme val="minor"/>
      </rPr>
      <t xml:space="preserve"> 필수정보 : 성명, 소속, 직위, 계좌번호, 주민등록번호(고유식별정보), 국적, 전화, 이메일</t>
    </r>
    <phoneticPr fontId="3" type="noConversion"/>
  </si>
  <si>
    <r>
      <t xml:space="preserve">  </t>
    </r>
    <r>
      <rPr>
        <sz val="10"/>
        <color theme="1"/>
        <rFont val="Segoe UI Symbol"/>
        <family val="2"/>
      </rPr>
      <t>▪</t>
    </r>
    <r>
      <rPr>
        <sz val="10"/>
        <color theme="1"/>
        <rFont val="Calibri"/>
        <family val="2"/>
        <charset val="129"/>
        <scheme val="minor"/>
      </rPr>
      <t xml:space="preserve"> 보유목적: 인건비 및 수당 지급, 세무신고, 경력증명서 발급 등 연구관리 제반사항</t>
    </r>
    <phoneticPr fontId="3" type="noConversion"/>
  </si>
  <si>
    <t>▶ 수집한 개인정보는「서울대학교 연구비관리 규정」제28조(관계서류의 보존)에 따라 5년간 보관합니다.</t>
    <phoneticPr fontId="3" type="noConversion"/>
  </si>
  <si>
    <t xml:space="preserve"> ※영어, 일어, 중국어, 불어, 독어, 스페인어, 러시아어를 제외한 특수어는 별도의 기준 적용가능</t>
    <phoneticPr fontId="3" type="noConversion"/>
  </si>
  <si>
    <t>▶ 개인정보(고유식별정보 포함) 수집에 동의하지 않을 수 있으나, 이 경우 인건비 및 수당지급이 제한될 수 있습니다.</t>
    <phoneticPr fontId="3" type="noConversion"/>
  </si>
  <si>
    <t>&lt;표 9&gt; 통역료 정액표</t>
    <phoneticPr fontId="3" type="noConversion"/>
  </si>
  <si>
    <t>○ 개인정보 수집 및 이용에 동의하십니까?</t>
    <phoneticPr fontId="3" type="noConversion"/>
  </si>
  <si>
    <t>동의함</t>
    <phoneticPr fontId="3" type="noConversion"/>
  </si>
  <si>
    <t>동의하지 않음</t>
    <phoneticPr fontId="3" type="noConversion"/>
  </si>
  <si>
    <t>언어구분</t>
    <phoneticPr fontId="3" type="noConversion"/>
  </si>
  <si>
    <t>2시간까지</t>
    <phoneticPr fontId="3" type="noConversion"/>
  </si>
  <si>
    <t>6시간까지</t>
    <phoneticPr fontId="3" type="noConversion"/>
  </si>
  <si>
    <t>6시간 초과시</t>
    <phoneticPr fontId="3" type="noConversion"/>
  </si>
  <si>
    <t>○ 고유식별정보 수집 및 이용에 동의하십니까?</t>
    <phoneticPr fontId="3" type="noConversion"/>
  </si>
  <si>
    <t>영어, 아랍어, 독일어</t>
    <phoneticPr fontId="3" type="noConversion"/>
  </si>
  <si>
    <t>500,000 이하</t>
    <phoneticPr fontId="3" type="noConversion"/>
  </si>
  <si>
    <t>700,000 이하</t>
    <phoneticPr fontId="3" type="noConversion"/>
  </si>
  <si>
    <t>시간당 100,000</t>
    <phoneticPr fontId="3" type="noConversion"/>
  </si>
  <si>
    <t>○ Do you agree with the collection of your personal information and its utilization?</t>
    <phoneticPr fontId="3" type="noConversion"/>
  </si>
  <si>
    <t>Agree</t>
    <phoneticPr fontId="3" type="noConversion"/>
  </si>
  <si>
    <t>Disagree</t>
    <phoneticPr fontId="3" type="noConversion"/>
  </si>
  <si>
    <t>일어, 중국어</t>
    <phoneticPr fontId="3" type="noConversion"/>
  </si>
  <si>
    <t>○ Do you agree with the collection of your personal identification number and its utilization?</t>
    <phoneticPr fontId="3" type="noConversion"/>
  </si>
  <si>
    <t>&lt; 개인정보의 제3자 제공 &gt;</t>
    <phoneticPr fontId="3" type="noConversion"/>
  </si>
  <si>
    <t>프랑스어, 스페인어, 러시아어 등</t>
    <phoneticPr fontId="3" type="noConversion"/>
  </si>
  <si>
    <t>&lt; Provision of the personal information to a third party &gt;</t>
    <phoneticPr fontId="3" type="noConversion"/>
  </si>
  <si>
    <t>▶ 서울대학교 산학협력단은 원칙적으로 이용자의 개인정보를 개인정보의 수집·이용 목적에서 명시한 범위 내에서 처리하며, 이용자의 사전 동의 없이는 본래의 범위를 초과하여 처리하거나 제3자에게 제공하지 않습니다. 단, 다음의 경우에는 개인정보를 제공할 수 있습니다.</t>
    <phoneticPr fontId="3" type="noConversion"/>
  </si>
  <si>
    <r>
      <t xml:space="preserve">▶ SNU R&amp;D foundation is treating the personal information in accordance with &lt;purpose of the personal information collection/utilization&gt;, and does not provide the personal information to a third party without the prior consent of the user. However, the information can be provided to a third party in case of the following.
    </t>
    </r>
    <r>
      <rPr>
        <sz val="10"/>
        <color theme="1"/>
        <rFont val="Segoe UI Symbol"/>
        <family val="2"/>
      </rPr>
      <t>▪</t>
    </r>
    <r>
      <rPr>
        <sz val="10"/>
        <color theme="1"/>
        <rFont val="Calibri"/>
        <family val="3"/>
        <charset val="129"/>
        <scheme val="minor"/>
      </rPr>
      <t xml:space="preserve"> The user have agreed the provision of information to a third party beforehand.
    </t>
    </r>
    <r>
      <rPr>
        <sz val="10"/>
        <color theme="1"/>
        <rFont val="Segoe UI Symbol"/>
        <family val="2"/>
      </rPr>
      <t>▪</t>
    </r>
    <r>
      <rPr>
        <sz val="10"/>
        <color theme="1"/>
        <rFont val="Calibri"/>
        <family val="3"/>
        <charset val="129"/>
        <scheme val="minor"/>
      </rPr>
      <t xml:space="preserve"> The provision is required by the legislation.
    </t>
    </r>
    <r>
      <rPr>
        <sz val="10"/>
        <color theme="1"/>
        <rFont val="Segoe UI Symbol"/>
        <family val="2"/>
      </rPr>
      <t>▪</t>
    </r>
    <r>
      <rPr>
        <sz val="10"/>
        <color theme="1"/>
        <rFont val="Calibri"/>
        <family val="3"/>
        <charset val="129"/>
        <scheme val="minor"/>
      </rPr>
      <t xml:space="preserve"> Receiving an agreement is significantly difficult due to economical/technical reasons, during the fulfillment of a contract about the provision of services.
    </t>
    </r>
    <r>
      <rPr>
        <sz val="10"/>
        <color theme="1"/>
        <rFont val="Segoe UI Symbol"/>
        <family val="2"/>
      </rPr>
      <t>▪</t>
    </r>
    <r>
      <rPr>
        <sz val="10"/>
        <color theme="1"/>
        <rFont val="Calibri"/>
        <family val="3"/>
        <charset val="129"/>
        <scheme val="minor"/>
      </rPr>
      <t xml:space="preserve"> The provision of information is required anonymously, during the purpose of statistics producing or academic research.</t>
    </r>
    <phoneticPr fontId="3" type="noConversion"/>
  </si>
  <si>
    <r>
      <t xml:space="preserve">  </t>
    </r>
    <r>
      <rPr>
        <sz val="10"/>
        <color theme="1"/>
        <rFont val="Segoe UI Symbol"/>
        <family val="2"/>
      </rPr>
      <t>▪</t>
    </r>
    <r>
      <rPr>
        <sz val="10"/>
        <color theme="1"/>
        <rFont val="Calibri"/>
        <family val="2"/>
        <charset val="129"/>
        <scheme val="minor"/>
      </rPr>
      <t xml:space="preserve"> 이용자가 사전에 제3자 제공 및 공개에 동의한 경우
  </t>
    </r>
    <r>
      <rPr>
        <sz val="10"/>
        <color theme="1"/>
        <rFont val="Segoe UI Symbol"/>
        <family val="2"/>
      </rPr>
      <t>▪</t>
    </r>
    <r>
      <rPr>
        <sz val="10"/>
        <color theme="1"/>
        <rFont val="Calibri"/>
        <family val="2"/>
        <charset val="129"/>
        <scheme val="minor"/>
      </rPr>
      <t xml:space="preserve"> 법령 등에 의해 제공이 요구되는 경우
  </t>
    </r>
    <r>
      <rPr>
        <sz val="10"/>
        <color theme="1"/>
        <rFont val="Segoe UI Symbol"/>
        <family val="2"/>
      </rPr>
      <t>▪</t>
    </r>
    <r>
      <rPr>
        <sz val="10"/>
        <color theme="1"/>
        <rFont val="Calibri"/>
        <family val="2"/>
        <charset val="129"/>
        <scheme val="minor"/>
      </rPr>
      <t xml:space="preserve"> 서비스의 제공에 관한 계약의 이행을 위하여 필요한 개인정보로서 경제적/기술적인 사유로 통상의 동의를 받는 것이 현저히 곤란한 경우
  </t>
    </r>
    <r>
      <rPr>
        <sz val="10"/>
        <color theme="1"/>
        <rFont val="Segoe UI Symbol"/>
        <family val="2"/>
      </rPr>
      <t>▪</t>
    </r>
    <r>
      <rPr>
        <sz val="10"/>
        <color theme="1"/>
        <rFont val="Calibri"/>
        <family val="2"/>
        <charset val="129"/>
        <scheme val="minor"/>
      </rPr>
      <t xml:space="preserve"> 통계작성 및 학술연구 등의 목적을 위해 필요한 경우로, 특정 개인을 알아볼 수 없는 형태로 개인정보를 제공하는 경우</t>
    </r>
    <phoneticPr fontId="3" type="noConversion"/>
  </si>
  <si>
    <t>&lt;표 8 &gt; 속기표 정액표</t>
    <phoneticPr fontId="3" type="noConversion"/>
  </si>
  <si>
    <t>단가</t>
    <phoneticPr fontId="3" type="noConversion"/>
  </si>
  <si>
    <t>속기기본</t>
    <phoneticPr fontId="3" type="noConversion"/>
  </si>
  <si>
    <t>시간당 300,000 이하</t>
    <phoneticPr fontId="3" type="noConversion"/>
  </si>
  <si>
    <t>1급 속기사 기준</t>
    <phoneticPr fontId="3" type="noConversion"/>
  </si>
  <si>
    <t>○ 개인정보의 제3자 제공에 동의하십니까?</t>
    <phoneticPr fontId="3" type="noConversion"/>
  </si>
  <si>
    <t>녹음재생</t>
    <phoneticPr fontId="3" type="noConversion"/>
  </si>
  <si>
    <t>시간당 350,000 이하</t>
    <phoneticPr fontId="3" type="noConversion"/>
  </si>
  <si>
    <t xml:space="preserve">외국어  </t>
    <phoneticPr fontId="3" type="noConversion"/>
  </si>
  <si>
    <t>시간당 400,000 이하</t>
    <phoneticPr fontId="3" type="noConversion"/>
  </si>
  <si>
    <t>○ Do you agree with the provision of your personal information to a third party?</t>
    <phoneticPr fontId="3" type="noConversion"/>
  </si>
  <si>
    <t>상기와 같이 연구과제 수행과 관련하여 전문가활용비를 청구합니다.</t>
    <phoneticPr fontId="0" type="Hiragana"/>
  </si>
  <si>
    <t>요점</t>
    <phoneticPr fontId="3" type="noConversion"/>
  </si>
  <si>
    <t>시간당 200,000 이하</t>
    <phoneticPr fontId="3" type="noConversion"/>
  </si>
  <si>
    <t>연구책임자</t>
  </si>
  <si>
    <t>(인)</t>
  </si>
  <si>
    <t>P.I.</t>
    <phoneticPr fontId="3" type="noConversion"/>
  </si>
  <si>
    <t>서울대학교 산학협력단</t>
  </si>
  <si>
    <t>SNU R&amp;DB Foundation</t>
    <phoneticPr fontId="3" type="noConversion"/>
  </si>
  <si>
    <t>* 첨부서류 목록</t>
    <phoneticPr fontId="3" type="noConversion"/>
  </si>
  <si>
    <t>339-20250011</t>
    <phoneticPr fontId="3" type="noConversion"/>
  </si>
  <si>
    <t>연구자 급</t>
  </si>
  <si>
    <t>대면</t>
  </si>
  <si>
    <t>내국인</t>
  </si>
  <si>
    <t>인지행동실험</t>
  </si>
  <si>
    <t>정신물리학 실험 데이터 수집</t>
  </si>
  <si>
    <t>2026.03.06~03.12</t>
  </si>
  <si>
    <t>649호</t>
  </si>
  <si>
    <t>(수령인 서명)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</si>
</sst>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₩&quot;* #,##0_-;\-&quot;₩&quot;* #,##0_-;_-&quot;₩&quot;* &quot;-&quot;_-;_-@_-"/>
    <numFmt numFmtId="165" formatCode="_-* #,##0_-;\-* #,##0_-;_-* &quot;-&quot;_-;_-@_-"/>
    <numFmt numFmtId="166" formatCode="yyyy&quot;년&quot;\ m&quot;월&quot;\ d&quot;일&quot;;@"/>
    <numFmt numFmtId="167" formatCode="h:mm;@"/>
    <numFmt numFmtId="168" formatCode="h&quot;시간&quot;\ mm&quot;분&quot;"/>
    <numFmt numFmtId="169" formatCode="\2000\-00\-00"/>
    <numFmt numFmtId="170" formatCode="h&quot;h&quot;\ mm&quot;m&quot;"/>
  </numFmts>
  <fonts count="21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b/>
      <sz val="22"/>
      <color rgb="FF000000"/>
      <name val="Calibri"/>
      <family val="3"/>
      <charset val="129"/>
      <scheme val="minor"/>
    </font>
    <font>
      <sz val="11"/>
      <color rgb="FF00000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0"/>
      <color rgb="FF000000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u/>
      <sz val="11"/>
      <color rgb="FF000000"/>
      <name val="Calibri"/>
      <family val="3"/>
      <charset val="129"/>
      <scheme val="minor"/>
    </font>
    <font>
      <b/>
      <sz val="11"/>
      <color rgb="FF000000"/>
      <name val="Calibri"/>
      <family val="3"/>
      <charset val="129"/>
      <scheme val="minor"/>
    </font>
    <font>
      <b/>
      <u/>
      <sz val="11"/>
      <color rgb="FF000000"/>
      <name val="Calibri"/>
      <family val="3"/>
      <charset val="129"/>
      <scheme val="minor"/>
    </font>
    <font>
      <sz val="11"/>
      <color rgb="FF969696"/>
      <name val="Calibri"/>
      <family val="3"/>
      <charset val="129"/>
      <scheme val="minor"/>
    </font>
    <font>
      <sz val="9"/>
      <color rgb="FF000000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Calibri"/>
      <family val="2"/>
      <charset val="129"/>
      <scheme val="minor"/>
    </font>
    <font>
      <sz val="10"/>
      <color theme="1"/>
      <name val="Segoe UI Symbol"/>
      <family val="2"/>
    </font>
    <font>
      <b/>
      <sz val="10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sz val="12"/>
      <color rgb="FF000000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thin">
        <color theme="1" tint="0.499984740745262"/>
      </bottom>
      <diagonal/>
    </border>
  </borders>
  <cellStyleXfs count="2">
    <xf numFmtId="0" fontId="0" fillId="0" borderId="0">
      <alignment vertical="center"/>
    </xf>
    <xf numFmtId="165" fontId="1" fillId="0" borderId="0" applyFont="0" applyFill="0" applyBorder="0" applyAlignment="0" applyProtection="0">
      <alignment vertical="center"/>
    </xf>
  </cellStyleXfs>
  <cellXfs count="14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17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2" fillId="0" borderId="5" xfId="0" applyFont="1" applyBorder="1">
      <alignment vertical="center"/>
    </xf>
    <xf numFmtId="0" fontId="5" fillId="0" borderId="2" xfId="0" applyFont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165" fontId="5" fillId="0" borderId="1" xfId="1" applyFont="1" applyBorder="1" applyAlignment="1">
      <alignment vertical="center" wrapText="1"/>
    </xf>
    <xf numFmtId="164" fontId="5" fillId="0" borderId="2" xfId="0" applyNumberFormat="1" applyFont="1" applyBorder="1" applyAlignment="1">
      <alignment vertical="center" wrapText="1"/>
    </xf>
    <xf numFmtId="165" fontId="5" fillId="0" borderId="2" xfId="1" applyFont="1" applyBorder="1" applyAlignment="1">
      <alignment vertical="center" wrapText="1"/>
    </xf>
    <xf numFmtId="0" fontId="13" fillId="2" borderId="2" xfId="0" applyFont="1" applyFill="1" applyBorder="1" applyAlignment="1">
      <alignment horizontal="center" vertical="center" wrapText="1"/>
    </xf>
    <xf numFmtId="165" fontId="5" fillId="0" borderId="1" xfId="1" applyFont="1" applyBorder="1" applyAlignment="1">
      <alignment horizontal="right" vertical="center" wrapText="1"/>
    </xf>
    <xf numFmtId="165" fontId="5" fillId="0" borderId="2" xfId="1" applyFont="1" applyBorder="1" applyAlignment="1">
      <alignment horizontal="right" vertical="center" wrapText="1"/>
    </xf>
    <xf numFmtId="0" fontId="16" fillId="0" borderId="10" xfId="0" applyFont="1" applyBorder="1">
      <alignment vertical="center"/>
    </xf>
    <xf numFmtId="0" fontId="16" fillId="0" borderId="0" xfId="0" applyFont="1">
      <alignment vertical="center"/>
    </xf>
    <xf numFmtId="0" fontId="16" fillId="0" borderId="11" xfId="0" applyFont="1" applyBorder="1">
      <alignment vertical="center"/>
    </xf>
    <xf numFmtId="0" fontId="0" fillId="0" borderId="11" xfId="0" applyBorder="1">
      <alignment vertical="center"/>
    </xf>
    <xf numFmtId="0" fontId="6" fillId="0" borderId="0" xfId="0" applyFont="1">
      <alignment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0" fontId="0" fillId="0" borderId="10" xfId="0" applyBorder="1">
      <alignment vertical="center"/>
    </xf>
    <xf numFmtId="0" fontId="6" fillId="0" borderId="0" xfId="0" applyFont="1" applyAlignment="1"/>
    <xf numFmtId="0" fontId="2" fillId="0" borderId="0" xfId="0" applyFont="1" applyAlignment="1">
      <alignment horizontal="right"/>
    </xf>
    <xf numFmtId="0" fontId="16" fillId="0" borderId="10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16" fillId="0" borderId="13" xfId="0" applyFont="1" applyBorder="1">
      <alignment vertical="center"/>
    </xf>
    <xf numFmtId="0" fontId="0" fillId="0" borderId="18" xfId="0" applyBorder="1">
      <alignment vertical="center"/>
    </xf>
    <xf numFmtId="0" fontId="16" fillId="0" borderId="18" xfId="0" applyFont="1" applyBorder="1">
      <alignment vertical="center"/>
    </xf>
    <xf numFmtId="0" fontId="0" fillId="0" borderId="14" xfId="0" applyBorder="1">
      <alignment vertical="center"/>
    </xf>
    <xf numFmtId="0" fontId="2" fillId="0" borderId="12" xfId="0" applyFont="1" applyBorder="1" applyAlignment="1">
      <alignment horizontal="center" vertical="center"/>
    </xf>
    <xf numFmtId="0" fontId="16" fillId="0" borderId="0" xfId="0" applyFont="1" applyAlignment="1">
      <alignment vertical="top" wrapText="1"/>
    </xf>
    <xf numFmtId="0" fontId="2" fillId="0" borderId="7" xfId="0" applyFont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16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 wrapText="1"/>
    </xf>
    <xf numFmtId="15" fontId="5" fillId="0" borderId="0" xfId="0" applyNumberFormat="1" applyFont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5" fontId="2" fillId="0" borderId="1" xfId="1" applyFont="1" applyBorder="1" applyAlignment="1">
      <alignment horizontal="center" vertical="center"/>
    </xf>
    <xf numFmtId="165" fontId="5" fillId="0" borderId="1" xfId="1" applyFont="1" applyBorder="1" applyAlignment="1">
      <alignment horizontal="center" vertical="center" wrapText="1"/>
    </xf>
    <xf numFmtId="165" fontId="2" fillId="0" borderId="2" xfId="1" applyFont="1" applyBorder="1" applyAlignment="1">
      <alignment horizontal="center" vertical="center"/>
    </xf>
    <xf numFmtId="165" fontId="5" fillId="0" borderId="3" xfId="1" applyFont="1" applyBorder="1" applyAlignment="1">
      <alignment horizontal="center" vertical="center" wrapText="1"/>
    </xf>
    <xf numFmtId="165" fontId="5" fillId="0" borderId="5" xfId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8" fillId="0" borderId="6" xfId="0" applyNumberFormat="1" applyFont="1" applyBorder="1" applyAlignment="1">
      <alignment horizontal="center" vertical="center"/>
    </xf>
    <xf numFmtId="3" fontId="8" fillId="0" borderId="12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65" fontId="5" fillId="0" borderId="4" xfId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69" fontId="2" fillId="0" borderId="2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47785;&#52264;!A4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457200</xdr:colOff>
          <xdr:row>26</xdr:row>
          <xdr:rowOff>177800</xdr:rowOff>
        </xdr:from>
        <xdr:to>
          <xdr:col>5</xdr:col>
          <xdr:colOff>660400</xdr:colOff>
          <xdr:row>28</xdr:row>
          <xdr:rowOff>25400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444500</xdr:colOff>
          <xdr:row>34</xdr:row>
          <xdr:rowOff>177800</xdr:rowOff>
        </xdr:from>
        <xdr:to>
          <xdr:col>5</xdr:col>
          <xdr:colOff>647700</xdr:colOff>
          <xdr:row>35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457200</xdr:colOff>
          <xdr:row>27</xdr:row>
          <xdr:rowOff>190500</xdr:rowOff>
        </xdr:from>
        <xdr:to>
          <xdr:col>5</xdr:col>
          <xdr:colOff>660400</xdr:colOff>
          <xdr:row>29</xdr:row>
          <xdr:rowOff>25400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26</xdr:row>
          <xdr:rowOff>177800</xdr:rowOff>
        </xdr:from>
        <xdr:to>
          <xdr:col>10</xdr:col>
          <xdr:colOff>330200</xdr:colOff>
          <xdr:row>28</xdr:row>
          <xdr:rowOff>25400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27</xdr:row>
          <xdr:rowOff>177800</xdr:rowOff>
        </xdr:from>
        <xdr:to>
          <xdr:col>10</xdr:col>
          <xdr:colOff>330200</xdr:colOff>
          <xdr:row>29</xdr:row>
          <xdr:rowOff>25400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34</xdr:row>
          <xdr:rowOff>177800</xdr:rowOff>
        </xdr:from>
        <xdr:to>
          <xdr:col>10</xdr:col>
          <xdr:colOff>355600</xdr:colOff>
          <xdr:row>35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457200</xdr:colOff>
          <xdr:row>26</xdr:row>
          <xdr:rowOff>177800</xdr:rowOff>
        </xdr:from>
        <xdr:to>
          <xdr:col>5</xdr:col>
          <xdr:colOff>660400</xdr:colOff>
          <xdr:row>28</xdr:row>
          <xdr:rowOff>25400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444500</xdr:colOff>
          <xdr:row>34</xdr:row>
          <xdr:rowOff>177800</xdr:rowOff>
        </xdr:from>
        <xdr:to>
          <xdr:col>5</xdr:col>
          <xdr:colOff>647700</xdr:colOff>
          <xdr:row>35</xdr:row>
          <xdr:rowOff>228600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457200</xdr:colOff>
          <xdr:row>27</xdr:row>
          <xdr:rowOff>190500</xdr:rowOff>
        </xdr:from>
        <xdr:to>
          <xdr:col>5</xdr:col>
          <xdr:colOff>660400</xdr:colOff>
          <xdr:row>29</xdr:row>
          <xdr:rowOff>25400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26</xdr:row>
          <xdr:rowOff>177800</xdr:rowOff>
        </xdr:from>
        <xdr:to>
          <xdr:col>10</xdr:col>
          <xdr:colOff>330200</xdr:colOff>
          <xdr:row>28</xdr:row>
          <xdr:rowOff>25400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27</xdr:row>
          <xdr:rowOff>177800</xdr:rowOff>
        </xdr:from>
        <xdr:to>
          <xdr:col>10</xdr:col>
          <xdr:colOff>330200</xdr:colOff>
          <xdr:row>29</xdr:row>
          <xdr:rowOff>25400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34</xdr:row>
          <xdr:rowOff>177800</xdr:rowOff>
        </xdr:from>
        <xdr:to>
          <xdr:col>10</xdr:col>
          <xdr:colOff>355600</xdr:colOff>
          <xdr:row>35</xdr:row>
          <xdr:rowOff>228600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558800</xdr:colOff>
          <xdr:row>28</xdr:row>
          <xdr:rowOff>177800</xdr:rowOff>
        </xdr:from>
        <xdr:to>
          <xdr:col>29</xdr:col>
          <xdr:colOff>762000</xdr:colOff>
          <xdr:row>30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558800</xdr:colOff>
          <xdr:row>27</xdr:row>
          <xdr:rowOff>177800</xdr:rowOff>
        </xdr:from>
        <xdr:to>
          <xdr:col>29</xdr:col>
          <xdr:colOff>762000</xdr:colOff>
          <xdr:row>29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0</xdr:colOff>
          <xdr:row>27</xdr:row>
          <xdr:rowOff>190500</xdr:rowOff>
        </xdr:from>
        <xdr:to>
          <xdr:col>29</xdr:col>
          <xdr:colOff>25400</xdr:colOff>
          <xdr:row>29</xdr:row>
          <xdr:rowOff>25400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0</xdr:colOff>
          <xdr:row>28</xdr:row>
          <xdr:rowOff>177800</xdr:rowOff>
        </xdr:from>
        <xdr:to>
          <xdr:col>29</xdr:col>
          <xdr:colOff>25400</xdr:colOff>
          <xdr:row>30</xdr:row>
          <xdr:rowOff>25400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558800</xdr:colOff>
          <xdr:row>35</xdr:row>
          <xdr:rowOff>177800</xdr:rowOff>
        </xdr:from>
        <xdr:to>
          <xdr:col>29</xdr:col>
          <xdr:colOff>762000</xdr:colOff>
          <xdr:row>36</xdr:row>
          <xdr:rowOff>177800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0</xdr:colOff>
          <xdr:row>35</xdr:row>
          <xdr:rowOff>190500</xdr:rowOff>
        </xdr:from>
        <xdr:to>
          <xdr:col>29</xdr:col>
          <xdr:colOff>25400</xdr:colOff>
          <xdr:row>37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19</xdr:col>
      <xdr:colOff>102177</xdr:colOff>
      <xdr:row>0</xdr:row>
      <xdr:rowOff>64943</xdr:rowOff>
    </xdr:from>
    <xdr:to>
      <xdr:col>20</xdr:col>
      <xdr:colOff>136280</xdr:colOff>
      <xdr:row>0</xdr:row>
      <xdr:rowOff>367502</xdr:rowOff>
    </xdr:to>
    <xdr:sp macro="" textlink="">
      <xdr:nvSpPr>
        <xdr:cNvPr id="20" name="오각형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6761402" y="64943"/>
          <a:ext cx="1262828" cy="302559"/>
        </a:xfrm>
        <a:prstGeom prst="homePlate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 baseline="0"/>
            <a:t>목차로 이동</a:t>
          </a:r>
        </a:p>
      </xdr:txBody>
    </xdr:sp>
    <xdr:clientData/>
  </xdr:twoCellAnchor>
  <xdr:twoCellAnchor>
    <xdr:from>
      <xdr:col>10</xdr:col>
      <xdr:colOff>291379</xdr:colOff>
      <xdr:row>0</xdr:row>
      <xdr:rowOff>64944</xdr:rowOff>
    </xdr:from>
    <xdr:to>
      <xdr:col>11</xdr:col>
      <xdr:colOff>704316</xdr:colOff>
      <xdr:row>0</xdr:row>
      <xdr:rowOff>367503</xdr:rowOff>
    </xdr:to>
    <xdr:sp macro="" textlink="">
      <xdr:nvSpPr>
        <xdr:cNvPr id="21" name="오각형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7844704" y="64944"/>
          <a:ext cx="1279712" cy="302559"/>
        </a:xfrm>
        <a:prstGeom prst="homePlate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 baseline="0"/>
            <a:t>목차로 이동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rnd/AppData/Local/Microsoft/Windows/INetCache/IE/3WGFO506/&#50808;&#48512;&#50672;&#44396;&#50896;&#46321;&#47197;_S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snl_jhlim/Documents/&#50672;&#44396;&#48708;&#44288;&#47532;/&#50672;&#44396;&#44284;&#51228;%20&#44288;&#47532;_&#51060;&#49345;&#54984;&#44368;&#49688;&#45784;/04.%20&#51473;&#44204;&#50672;&#44396;%20(2024.05.01~2027.04.30)/2.%20&#51473;&#44204;&#44284;&#51228;%202&#52264;&#45380;&#46020;%20(2025.05~2026.04)/&#51473;&#44204;_(&#52572;&#51333;)%202023&#45380;%20&#51088;&#50672;&#45824;&amp;&#44592;&#44284;&#50672;%20&#50672;&#44396;&#48708;%20&#52397;&#44396;&#49436;&#49885;%20&#48176;&#54252;%20(Ver.2023-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인건비지급단가"/>
      <sheetName val="참고"/>
      <sheetName val="참조2"/>
    </sheetNames>
    <sheetDataSet>
      <sheetData sheetId="0" refreshError="1"/>
      <sheetData sheetId="1">
        <row r="2">
          <cell r="A2" t="str">
            <v>한국</v>
          </cell>
        </row>
        <row r="3">
          <cell r="A3" t="str">
            <v>미국</v>
          </cell>
        </row>
        <row r="4">
          <cell r="A4" t="str">
            <v>중국</v>
          </cell>
        </row>
        <row r="5">
          <cell r="A5" t="str">
            <v>일본</v>
          </cell>
        </row>
        <row r="6">
          <cell r="A6" t="str">
            <v>솔로몬</v>
          </cell>
        </row>
        <row r="7">
          <cell r="A7" t="str">
            <v>체코</v>
          </cell>
        </row>
        <row r="8">
          <cell r="A8" t="str">
            <v>인도</v>
          </cell>
        </row>
        <row r="9">
          <cell r="A9" t="str">
            <v>조지아</v>
          </cell>
        </row>
        <row r="10">
          <cell r="A10" t="str">
            <v>캐나다</v>
          </cell>
        </row>
        <row r="11">
          <cell r="A11" t="str">
            <v>스웨덴</v>
          </cell>
        </row>
        <row r="12">
          <cell r="A12" t="str">
            <v>캄보디아</v>
          </cell>
        </row>
        <row r="13">
          <cell r="A13" t="str">
            <v>몽골</v>
          </cell>
        </row>
        <row r="14">
          <cell r="A14" t="str">
            <v>감비아</v>
          </cell>
        </row>
        <row r="15">
          <cell r="A15" t="str">
            <v>안타티카</v>
          </cell>
        </row>
        <row r="16">
          <cell r="A16" t="str">
            <v>온두라스</v>
          </cell>
        </row>
        <row r="17">
          <cell r="A17" t="str">
            <v>말리</v>
          </cell>
        </row>
        <row r="18">
          <cell r="A18" t="str">
            <v>마샬군도</v>
          </cell>
        </row>
        <row r="19">
          <cell r="A19" t="str">
            <v>영령 인도양</v>
          </cell>
        </row>
        <row r="20">
          <cell r="A20" t="str">
            <v>투발루</v>
          </cell>
        </row>
        <row r="21">
          <cell r="A21" t="str">
            <v>세인트 피레 미켈론</v>
          </cell>
        </row>
        <row r="22">
          <cell r="A22" t="str">
            <v>스발비드 군도</v>
          </cell>
        </row>
        <row r="23">
          <cell r="A23" t="str">
            <v xml:space="preserve">파라과이 </v>
          </cell>
        </row>
        <row r="24">
          <cell r="A24" t="str">
            <v>아루바</v>
          </cell>
        </row>
        <row r="25">
          <cell r="A25" t="str">
            <v>발로</v>
          </cell>
        </row>
        <row r="26">
          <cell r="A26" t="str">
            <v>라오스</v>
          </cell>
        </row>
        <row r="27">
          <cell r="A27" t="str">
            <v>태국</v>
          </cell>
        </row>
        <row r="28">
          <cell r="A28" t="str">
            <v>마카오</v>
          </cell>
        </row>
        <row r="29">
          <cell r="A29" t="str">
            <v>가봉</v>
          </cell>
        </row>
        <row r="30">
          <cell r="A30" t="str">
            <v>말라위</v>
          </cell>
        </row>
        <row r="31">
          <cell r="A31" t="str">
            <v>불령 가이아나</v>
          </cell>
        </row>
        <row r="32">
          <cell r="A32" t="str">
            <v>세이쉘</v>
          </cell>
        </row>
        <row r="33">
          <cell r="A33" t="str">
            <v>폴란드</v>
          </cell>
        </row>
        <row r="34">
          <cell r="A34" t="str">
            <v>쿠웨이트</v>
          </cell>
        </row>
        <row r="35">
          <cell r="A35" t="str">
            <v>아이슬란드</v>
          </cell>
        </row>
        <row r="36">
          <cell r="A36" t="str">
            <v>자이레</v>
          </cell>
        </row>
        <row r="37">
          <cell r="A37" t="str">
            <v>레바논</v>
          </cell>
        </row>
        <row r="38">
          <cell r="A38" t="str">
            <v>레소토</v>
          </cell>
        </row>
        <row r="39">
          <cell r="A39" t="str">
            <v>북마리아나 군도</v>
          </cell>
        </row>
        <row r="40">
          <cell r="A40" t="str">
            <v xml:space="preserve">코트디부아르 </v>
          </cell>
        </row>
        <row r="41">
          <cell r="A41" t="str">
            <v xml:space="preserve">토켈라우 </v>
          </cell>
        </row>
        <row r="42">
          <cell r="A42" t="str">
            <v>포르투갈</v>
          </cell>
        </row>
        <row r="43">
          <cell r="A43" t="str">
            <v>벨기에</v>
          </cell>
        </row>
        <row r="44">
          <cell r="A44" t="str">
            <v>바베이도스</v>
          </cell>
        </row>
        <row r="45">
          <cell r="A45" t="str">
            <v>안도라</v>
          </cell>
        </row>
        <row r="46">
          <cell r="A46" t="str">
            <v>유고슬라비아</v>
          </cell>
        </row>
        <row r="47">
          <cell r="A47" t="str">
            <v>벨라루스</v>
          </cell>
        </row>
        <row r="48">
          <cell r="A48" t="str">
            <v>쿡 제도</v>
          </cell>
        </row>
        <row r="49">
          <cell r="A49" t="str">
            <v>남조지아 &amp; 남샌드위치 군도</v>
          </cell>
        </row>
        <row r="50">
          <cell r="A50" t="str">
            <v>아르메니아</v>
          </cell>
        </row>
        <row r="51">
          <cell r="A51" t="str">
            <v>요르단</v>
          </cell>
        </row>
        <row r="52">
          <cell r="A52" t="str">
            <v>이집트</v>
          </cell>
        </row>
        <row r="53">
          <cell r="A53" t="str">
            <v>인도네시아</v>
          </cell>
        </row>
        <row r="54">
          <cell r="A54" t="str">
            <v>카메룬</v>
          </cell>
        </row>
        <row r="55">
          <cell r="A55" t="str">
            <v>코모로</v>
          </cell>
        </row>
        <row r="56">
          <cell r="A56" t="str">
            <v>콜롬비아</v>
          </cell>
        </row>
        <row r="57">
          <cell r="A57" t="str">
            <v>쿠바</v>
          </cell>
        </row>
        <row r="58">
          <cell r="A58" t="str">
            <v>트리니다드토바고</v>
          </cell>
        </row>
        <row r="59">
          <cell r="A59" t="str">
            <v>파푸아뉴기니</v>
          </cell>
        </row>
        <row r="60">
          <cell r="A60" t="str">
            <v>프랑스</v>
          </cell>
        </row>
        <row r="61">
          <cell r="A61" t="str">
            <v>호주</v>
          </cell>
        </row>
        <row r="62">
          <cell r="A62" t="str">
            <v>과델로프</v>
          </cell>
        </row>
        <row r="63">
          <cell r="A63" t="str">
            <v>뉴 칼레도니아</v>
          </cell>
        </row>
        <row r="64">
          <cell r="A64" t="str">
            <v>바티칸 시티</v>
          </cell>
        </row>
        <row r="65">
          <cell r="A65" t="str">
            <v>보스니아헤르체고비나</v>
          </cell>
        </row>
        <row r="66">
          <cell r="A66" t="str">
            <v>세인트 키츠 네비스</v>
          </cell>
        </row>
        <row r="67">
          <cell r="A67" t="str">
            <v>싱가포르</v>
          </cell>
        </row>
        <row r="68">
          <cell r="A68" t="str">
            <v xml:space="preserve">아랍에미리트 </v>
          </cell>
        </row>
        <row r="69">
          <cell r="A69" t="str">
            <v>안굴리아</v>
          </cell>
        </row>
        <row r="70">
          <cell r="A70" t="str">
            <v>적도 기니</v>
          </cell>
        </row>
        <row r="71">
          <cell r="A71" t="str">
            <v>소말리아</v>
          </cell>
        </row>
        <row r="72">
          <cell r="A72" t="str">
            <v>룩셈브르크</v>
          </cell>
        </row>
        <row r="73">
          <cell r="A73" t="str">
            <v>홍콩</v>
          </cell>
        </row>
        <row r="74">
          <cell r="A74" t="str">
            <v>이란</v>
          </cell>
        </row>
        <row r="75">
          <cell r="A75" t="str">
            <v>이스라엘</v>
          </cell>
        </row>
        <row r="76">
          <cell r="A76" t="str">
            <v>크메르</v>
          </cell>
        </row>
        <row r="77">
          <cell r="A77" t="str">
            <v>몰디브</v>
          </cell>
        </row>
        <row r="78">
          <cell r="A78" t="str">
            <v>오만</v>
          </cell>
        </row>
        <row r="79">
          <cell r="A79" t="str">
            <v>필리핀</v>
          </cell>
        </row>
        <row r="80">
          <cell r="A80" t="str">
            <v>사우디아라비아</v>
          </cell>
        </row>
        <row r="81">
          <cell r="A81" t="str">
            <v>스리랑카</v>
          </cell>
        </row>
        <row r="82">
          <cell r="A82" t="str">
            <v>시리아</v>
          </cell>
        </row>
        <row r="83">
          <cell r="A83" t="str">
            <v>터키</v>
          </cell>
        </row>
        <row r="84">
          <cell r="A84" t="str">
            <v>예멘</v>
          </cell>
        </row>
        <row r="85">
          <cell r="A85" t="str">
            <v>미크로네시아</v>
          </cell>
        </row>
        <row r="86">
          <cell r="A86" t="str">
            <v>아르헨티나</v>
          </cell>
        </row>
        <row r="87">
          <cell r="A87" t="str">
            <v>바하마</v>
          </cell>
        </row>
        <row r="88">
          <cell r="A88" t="str">
            <v>브라질</v>
          </cell>
        </row>
        <row r="89">
          <cell r="A89" t="str">
            <v>칠레</v>
          </cell>
        </row>
        <row r="90">
          <cell r="A90" t="str">
            <v>코스타리카</v>
          </cell>
        </row>
        <row r="91">
          <cell r="A91" t="str">
            <v>엘살바도르</v>
          </cell>
        </row>
        <row r="92">
          <cell r="A92" t="str">
            <v>과테말라</v>
          </cell>
        </row>
        <row r="93">
          <cell r="A93" t="str">
            <v>아이티</v>
          </cell>
        </row>
        <row r="94">
          <cell r="A94" t="str">
            <v>멕시코</v>
          </cell>
        </row>
        <row r="95">
          <cell r="A95" t="str">
            <v>페루</v>
          </cell>
        </row>
        <row r="96">
          <cell r="A96" t="str">
            <v>베네수엘라</v>
          </cell>
        </row>
        <row r="97">
          <cell r="A97" t="str">
            <v>핀란드</v>
          </cell>
        </row>
        <row r="98">
          <cell r="A98" t="str">
            <v>그리스</v>
          </cell>
        </row>
        <row r="99">
          <cell r="A99" t="str">
            <v>네덜란드</v>
          </cell>
        </row>
        <row r="100">
          <cell r="A100" t="str">
            <v>산마리노</v>
          </cell>
        </row>
        <row r="101">
          <cell r="A101" t="str">
            <v>베나투</v>
          </cell>
        </row>
        <row r="102">
          <cell r="A102" t="str">
            <v>베냉</v>
          </cell>
        </row>
        <row r="103">
          <cell r="A103" t="str">
            <v>솔로몬제도</v>
          </cell>
        </row>
        <row r="104">
          <cell r="A104" t="str">
            <v>키리바시</v>
          </cell>
        </row>
        <row r="105">
          <cell r="A105" t="str">
            <v>대만</v>
          </cell>
        </row>
        <row r="106">
          <cell r="A106" t="str">
            <v>짐바브웨</v>
          </cell>
        </row>
        <row r="107">
          <cell r="A107" t="str">
            <v>파로에 군도</v>
          </cell>
        </row>
        <row r="108">
          <cell r="A108" t="str">
            <v>불가리아</v>
          </cell>
        </row>
        <row r="109">
          <cell r="A109" t="str">
            <v>르완다</v>
          </cell>
        </row>
        <row r="110">
          <cell r="A110" t="str">
            <v>시에라리온</v>
          </cell>
        </row>
        <row r="111">
          <cell r="A111" t="str">
            <v>수단</v>
          </cell>
        </row>
        <row r="112">
          <cell r="A112" t="str">
            <v>모나코</v>
          </cell>
        </row>
        <row r="113">
          <cell r="A113" t="str">
            <v>토고</v>
          </cell>
        </row>
        <row r="114">
          <cell r="A114" t="str">
            <v>우간다</v>
          </cell>
        </row>
        <row r="115">
          <cell r="A115" t="str">
            <v>가이네아</v>
          </cell>
        </row>
        <row r="116">
          <cell r="A116" t="str">
            <v>모리타니아</v>
          </cell>
        </row>
        <row r="117">
          <cell r="A117" t="str">
            <v>잠비아</v>
          </cell>
        </row>
        <row r="118">
          <cell r="A118" t="str">
            <v>미얀마(버마)</v>
          </cell>
        </row>
        <row r="119">
          <cell r="A119" t="str">
            <v>부르키나파소</v>
          </cell>
        </row>
        <row r="120">
          <cell r="A120" t="str">
            <v>슬로베니아</v>
          </cell>
        </row>
        <row r="121">
          <cell r="A121" t="str">
            <v>우즈베키스탄</v>
          </cell>
        </row>
        <row r="122">
          <cell r="A122" t="str">
            <v>차오</v>
          </cell>
        </row>
        <row r="123">
          <cell r="A123" t="str">
            <v>콩고</v>
          </cell>
        </row>
        <row r="124">
          <cell r="A124" t="str">
            <v>에스토니아</v>
          </cell>
        </row>
        <row r="125">
          <cell r="A125" t="str">
            <v>유럽연합</v>
          </cell>
        </row>
        <row r="126">
          <cell r="A126" t="str">
            <v>기니비사우</v>
          </cell>
        </row>
        <row r="127">
          <cell r="A127" t="str">
            <v>나우루</v>
          </cell>
        </row>
        <row r="128">
          <cell r="A128" t="str">
            <v>도미니카 공화국</v>
          </cell>
        </row>
        <row r="129">
          <cell r="A129" t="str">
            <v>리히텐슈타인</v>
          </cell>
        </row>
        <row r="130">
          <cell r="A130" t="str">
            <v>마이너 아우틀링 합중국 군도</v>
          </cell>
        </row>
        <row r="131">
          <cell r="A131" t="str">
            <v>보빗군도</v>
          </cell>
        </row>
        <row r="132">
          <cell r="A132" t="str">
            <v>불령 남부지역</v>
          </cell>
        </row>
        <row r="133">
          <cell r="A133" t="str">
            <v>서사하라</v>
          </cell>
        </row>
        <row r="134">
          <cell r="A134" t="str">
            <v>세인트 빈센트 그레나딘</v>
          </cell>
        </row>
        <row r="135">
          <cell r="A135" t="str">
            <v>세인트 헬레나</v>
          </cell>
        </row>
        <row r="136">
          <cell r="A136" t="str">
            <v>영령 버진군도</v>
          </cell>
        </row>
        <row r="137">
          <cell r="A137" t="str">
            <v>영령 캐이맨 군도</v>
          </cell>
        </row>
        <row r="138">
          <cell r="A138" t="str">
            <v>코스 군도</v>
          </cell>
        </row>
        <row r="139">
          <cell r="A139" t="str">
            <v>투르크 &amp; 카이코스 군도</v>
          </cell>
        </row>
        <row r="140">
          <cell r="A140" t="str">
            <v>팔레스타인</v>
          </cell>
        </row>
        <row r="141">
          <cell r="A141" t="str">
            <v>도미니카</v>
          </cell>
        </row>
        <row r="142">
          <cell r="A142" t="str">
            <v>우루과이</v>
          </cell>
        </row>
        <row r="143">
          <cell r="A143" t="str">
            <v>독일</v>
          </cell>
        </row>
        <row r="144">
          <cell r="A144" t="str">
            <v>키프로스</v>
          </cell>
        </row>
        <row r="145">
          <cell r="A145" t="str">
            <v>이라크</v>
          </cell>
        </row>
        <row r="146">
          <cell r="A146" t="str">
            <v>말레이지아</v>
          </cell>
        </row>
        <row r="147">
          <cell r="A147" t="str">
            <v>네팔</v>
          </cell>
        </row>
        <row r="148">
          <cell r="A148" t="str">
            <v>탄자니아</v>
          </cell>
        </row>
        <row r="149">
          <cell r="A149" t="str">
            <v>모잠비크</v>
          </cell>
        </row>
        <row r="150">
          <cell r="A150" t="str">
            <v>마다가스카르</v>
          </cell>
        </row>
        <row r="151">
          <cell r="A151" t="str">
            <v>스페인</v>
          </cell>
        </row>
        <row r="152">
          <cell r="A152" t="str">
            <v xml:space="preserve">동독 </v>
          </cell>
        </row>
        <row r="153">
          <cell r="A153" t="str">
            <v>파키스탄</v>
          </cell>
        </row>
        <row r="154">
          <cell r="A154" t="str">
            <v>카타르</v>
          </cell>
        </row>
        <row r="155">
          <cell r="A155" t="str">
            <v>베트남</v>
          </cell>
        </row>
        <row r="156">
          <cell r="A156" t="str">
            <v>남예멘</v>
          </cell>
        </row>
        <row r="157">
          <cell r="A157" t="str">
            <v>볼리비아</v>
          </cell>
        </row>
        <row r="158">
          <cell r="A158" t="str">
            <v xml:space="preserve">에콰도르 </v>
          </cell>
        </row>
        <row r="159">
          <cell r="A159" t="str">
            <v>그레나다</v>
          </cell>
        </row>
        <row r="160">
          <cell r="A160" t="str">
            <v>자메이카</v>
          </cell>
        </row>
        <row r="161">
          <cell r="A161" t="str">
            <v>파나마</v>
          </cell>
        </row>
        <row r="162">
          <cell r="A162" t="str">
            <v>수리남</v>
          </cell>
        </row>
        <row r="163">
          <cell r="A163" t="str">
            <v>오스트리아</v>
          </cell>
        </row>
        <row r="164">
          <cell r="A164" t="str">
            <v>영국</v>
          </cell>
        </row>
        <row r="165">
          <cell r="A165" t="str">
            <v>이탈리아</v>
          </cell>
        </row>
        <row r="166">
          <cell r="A166" t="str">
            <v>몰타</v>
          </cell>
        </row>
        <row r="167">
          <cell r="A167" t="str">
            <v>노르웨이</v>
          </cell>
        </row>
        <row r="168">
          <cell r="A168" t="str">
            <v>스위스</v>
          </cell>
        </row>
        <row r="169">
          <cell r="A169" t="str">
            <v>알바니아</v>
          </cell>
        </row>
        <row r="170">
          <cell r="A170" t="str">
            <v>소련</v>
          </cell>
        </row>
        <row r="171">
          <cell r="A171" t="str">
            <v>피지</v>
          </cell>
        </row>
        <row r="172">
          <cell r="A172" t="str">
            <v>칼레도니아</v>
          </cell>
        </row>
        <row r="173">
          <cell r="A173" t="str">
            <v>타이티</v>
          </cell>
        </row>
        <row r="174">
          <cell r="A174" t="str">
            <v>알제리</v>
          </cell>
        </row>
        <row r="175">
          <cell r="A175" t="str">
            <v>다오메이</v>
          </cell>
        </row>
        <row r="176">
          <cell r="A176" t="str">
            <v xml:space="preserve">에티오피아 </v>
          </cell>
        </row>
        <row r="177">
          <cell r="A177" t="str">
            <v>가나</v>
          </cell>
        </row>
        <row r="178">
          <cell r="A178" t="str">
            <v>케냐</v>
          </cell>
        </row>
        <row r="179">
          <cell r="A179" t="str">
            <v>리비아</v>
          </cell>
        </row>
        <row r="180">
          <cell r="A180" t="str">
            <v>모리셔스</v>
          </cell>
        </row>
        <row r="181">
          <cell r="A181" t="str">
            <v>니제르</v>
          </cell>
        </row>
        <row r="182">
          <cell r="A182" t="str">
            <v>기니</v>
          </cell>
        </row>
        <row r="183">
          <cell r="A183" t="str">
            <v>바레인</v>
          </cell>
        </row>
        <row r="184">
          <cell r="A184" t="str">
            <v>북한</v>
          </cell>
        </row>
        <row r="185">
          <cell r="A185" t="str">
            <v>가이아나</v>
          </cell>
        </row>
        <row r="186">
          <cell r="A186" t="str">
            <v>니카라과</v>
          </cell>
        </row>
        <row r="187">
          <cell r="A187" t="str">
            <v>푸에르토리코</v>
          </cell>
        </row>
        <row r="188">
          <cell r="A188" t="str">
            <v>덴마크</v>
          </cell>
        </row>
        <row r="189">
          <cell r="A189" t="str">
            <v>아일랜드</v>
          </cell>
        </row>
        <row r="190">
          <cell r="A190" t="str">
            <v>헝가리</v>
          </cell>
        </row>
        <row r="191">
          <cell r="A191" t="str">
            <v>오트볼타</v>
          </cell>
        </row>
        <row r="192">
          <cell r="A192" t="str">
            <v>부룬디</v>
          </cell>
        </row>
        <row r="193">
          <cell r="A193" t="str">
            <v>버진군도</v>
          </cell>
        </row>
        <row r="194">
          <cell r="A194" t="str">
            <v>쎄크레스</v>
          </cell>
        </row>
        <row r="195">
          <cell r="A195" t="str">
            <v>아제르바잔</v>
          </cell>
        </row>
        <row r="196">
          <cell r="A196" t="str">
            <v>지부티</v>
          </cell>
        </row>
        <row r="197">
          <cell r="A197" t="str">
            <v>투르크메니스탄</v>
          </cell>
        </row>
        <row r="198">
          <cell r="A198" t="str">
            <v xml:space="preserve">키르기스스탄 </v>
          </cell>
        </row>
        <row r="199">
          <cell r="A199" t="str">
            <v>그린란드</v>
          </cell>
        </row>
        <row r="200">
          <cell r="A200" t="str">
            <v>피트카이른</v>
          </cell>
        </row>
        <row r="201">
          <cell r="A201" t="str">
            <v>아프가니스탄</v>
          </cell>
        </row>
        <row r="202">
          <cell r="A202" t="str">
            <v>방글라데시</v>
          </cell>
        </row>
        <row r="203">
          <cell r="A203" t="str">
            <v>부탄</v>
          </cell>
        </row>
        <row r="204">
          <cell r="A204" t="str">
            <v>브루나이</v>
          </cell>
        </row>
        <row r="205">
          <cell r="A205" t="str">
            <v>루마니아</v>
          </cell>
        </row>
        <row r="206">
          <cell r="A206" t="str">
            <v>세르비아</v>
          </cell>
        </row>
        <row r="207">
          <cell r="A207" t="str">
            <v>코소보</v>
          </cell>
        </row>
        <row r="208">
          <cell r="A208" t="str">
            <v>사모아</v>
          </cell>
        </row>
        <row r="209">
          <cell r="A209" t="str">
            <v>괌</v>
          </cell>
        </row>
        <row r="210">
          <cell r="A210" t="str">
            <v>헤브리테스</v>
          </cell>
        </row>
        <row r="211">
          <cell r="A211" t="str">
            <v>뉴질랜드</v>
          </cell>
        </row>
        <row r="212">
          <cell r="A212" t="str">
            <v>서사모아</v>
          </cell>
        </row>
        <row r="213">
          <cell r="A213" t="str">
            <v>보츠와나</v>
          </cell>
        </row>
        <row r="214">
          <cell r="A214" t="str">
            <v>중앙아프리카공화국</v>
          </cell>
        </row>
        <row r="215">
          <cell r="A215" t="str">
            <v>차드</v>
          </cell>
        </row>
        <row r="216">
          <cell r="A216" t="str">
            <v>아이보리코스트</v>
          </cell>
        </row>
        <row r="217">
          <cell r="A217" t="str">
            <v>라이베리아</v>
          </cell>
        </row>
        <row r="218">
          <cell r="A218" t="str">
            <v>모로코</v>
          </cell>
        </row>
        <row r="219">
          <cell r="A219" t="str">
            <v>나이지리아</v>
          </cell>
        </row>
        <row r="220">
          <cell r="A220" t="str">
            <v>로디지아</v>
          </cell>
        </row>
        <row r="221">
          <cell r="A221" t="str">
            <v>세네갈</v>
          </cell>
        </row>
        <row r="222">
          <cell r="A222" t="str">
            <v>남아프리카공화국</v>
          </cell>
        </row>
        <row r="223">
          <cell r="A223" t="str">
            <v>서남아프리카</v>
          </cell>
        </row>
        <row r="224">
          <cell r="A224" t="str">
            <v>스와질랜드</v>
          </cell>
        </row>
        <row r="225">
          <cell r="A225" t="str">
            <v>튀니지</v>
          </cell>
        </row>
        <row r="226">
          <cell r="A226" t="str">
            <v>콩고민주공화국</v>
          </cell>
        </row>
        <row r="227">
          <cell r="A227" t="str">
            <v>앙골라</v>
          </cell>
        </row>
        <row r="228">
          <cell r="A228" t="str">
            <v>말비나소</v>
          </cell>
        </row>
        <row r="229">
          <cell r="A229" t="str">
            <v>몰도바</v>
          </cell>
        </row>
        <row r="230">
          <cell r="A230" t="str">
            <v>버뮤다</v>
          </cell>
        </row>
        <row r="231">
          <cell r="A231" t="str">
            <v>벨리즈</v>
          </cell>
        </row>
        <row r="232">
          <cell r="A232" t="str">
            <v>벨라루시아</v>
          </cell>
        </row>
        <row r="233">
          <cell r="A233" t="str">
            <v>러시아</v>
          </cell>
        </row>
        <row r="234">
          <cell r="A234" t="str">
            <v>시칠리스</v>
          </cell>
        </row>
        <row r="235">
          <cell r="A235" t="str">
            <v>우크라이나</v>
          </cell>
        </row>
        <row r="236">
          <cell r="A236" t="str">
            <v>지브랄타</v>
          </cell>
        </row>
        <row r="237">
          <cell r="A237" t="str">
            <v>포클랜드 군도</v>
          </cell>
        </row>
        <row r="238">
          <cell r="A238" t="str">
            <v>카페버디</v>
          </cell>
        </row>
        <row r="239">
          <cell r="A239" t="str">
            <v>타지키스탄</v>
          </cell>
        </row>
        <row r="240">
          <cell r="A240" t="str">
            <v>통가</v>
          </cell>
        </row>
        <row r="241">
          <cell r="A241" t="str">
            <v>파카리안</v>
          </cell>
        </row>
        <row r="242">
          <cell r="A242" t="str">
            <v>카자흐스탄</v>
          </cell>
        </row>
        <row r="243">
          <cell r="A243" t="str">
            <v>그루지아</v>
          </cell>
        </row>
        <row r="244">
          <cell r="A244" t="str">
            <v>나미비아</v>
          </cell>
        </row>
        <row r="245">
          <cell r="A245" t="str">
            <v>네덜란드령앤틸리스제도</v>
          </cell>
        </row>
        <row r="246">
          <cell r="A246" t="str">
            <v>노폴크 아일랜드</v>
          </cell>
        </row>
        <row r="247">
          <cell r="A247" t="str">
            <v>니우에</v>
          </cell>
        </row>
        <row r="248">
          <cell r="A248" t="str">
            <v>라트비아</v>
          </cell>
        </row>
        <row r="249">
          <cell r="A249" t="str">
            <v>리투아니아</v>
          </cell>
        </row>
        <row r="250">
          <cell r="A250" t="str">
            <v>마케도니아</v>
          </cell>
        </row>
        <row r="251">
          <cell r="A251" t="str">
            <v>마티니크</v>
          </cell>
        </row>
        <row r="252">
          <cell r="A252" t="str">
            <v>메요트</v>
          </cell>
        </row>
        <row r="253">
          <cell r="A253" t="str">
            <v>몬트세라트</v>
          </cell>
        </row>
        <row r="254">
          <cell r="A254" t="str">
            <v>불령 리유니온,코모도 제도</v>
          </cell>
        </row>
        <row r="255">
          <cell r="A255" t="str">
            <v>불령 폴리네시아</v>
          </cell>
        </row>
        <row r="256">
          <cell r="A256" t="str">
            <v xml:space="preserve">상투메프린시페 </v>
          </cell>
        </row>
        <row r="257">
          <cell r="A257" t="str">
            <v>세인트 루시아</v>
          </cell>
        </row>
        <row r="258">
          <cell r="A258" t="str">
            <v>슬로바키아</v>
          </cell>
        </row>
        <row r="259">
          <cell r="A259" t="str">
            <v>안티가 바부다</v>
          </cell>
        </row>
        <row r="260">
          <cell r="A260" t="str">
            <v>에리트리아</v>
          </cell>
        </row>
        <row r="261">
          <cell r="A261" t="str">
            <v>왈라스 &amp; 퓨투나 군도</v>
          </cell>
        </row>
        <row r="262">
          <cell r="A262" t="str">
            <v>크로아티아</v>
          </cell>
        </row>
        <row r="263">
          <cell r="A263" t="str">
            <v>크리스마스 아일랜드</v>
          </cell>
        </row>
        <row r="264">
          <cell r="A264" t="str">
            <v>동티모르</v>
          </cell>
        </row>
        <row r="265">
          <cell r="A265" t="str">
            <v>팔라우</v>
          </cell>
        </row>
        <row r="266">
          <cell r="A266" t="str">
            <v>허드 앤 맥도날드 군도</v>
          </cell>
        </row>
        <row r="267">
          <cell r="A267" t="str">
            <v>몬테네그로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"/>
      <sheetName val="표준거래명세서"/>
      <sheetName val="1"/>
      <sheetName val="2"/>
      <sheetName val="3"/>
      <sheetName val="4"/>
      <sheetName val="5"/>
      <sheetName val="6-1"/>
      <sheetName val="6-2"/>
      <sheetName val="6-3"/>
      <sheetName val="7"/>
      <sheetName val="8"/>
      <sheetName val="9-1"/>
      <sheetName val="9-2"/>
      <sheetName val="9-3"/>
      <sheetName val="10"/>
      <sheetName val="11-1"/>
      <sheetName val="11-2"/>
      <sheetName val="12"/>
      <sheetName val="13-1"/>
      <sheetName val="13-2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국외논문 체크리스트"/>
      <sheetName val="부실학회 여부 관련 자가체크 확인서"/>
      <sheetName val="논문 투고 시 체크리스트, 집행확인서"/>
      <sheetName val="Sheet1"/>
      <sheetName val="참조2"/>
      <sheetName val="참고"/>
      <sheetName val="Sheet2"/>
      <sheetName val="출장비"/>
      <sheetName val="출장지"/>
    </sheetNames>
    <sheetDataSet>
      <sheetData sheetId="0"/>
      <sheetData sheetId="1"/>
      <sheetData sheetId="2">
        <row r="6">
          <cell r="B6" t="str">
            <v>339-20250011</v>
          </cell>
          <cell r="G6" t="str">
            <v>이 상 훈</v>
          </cell>
          <cell r="H6"/>
        </row>
        <row r="7">
          <cell r="B7" t="str">
            <v>인간 뇌의 감각 및 기억 시스템에 형성되는 신경표상의 분리를 통한환경-적응적 과거효과의 발생원인과 신경원천 규명</v>
          </cell>
          <cell r="C7"/>
          <cell r="D7"/>
          <cell r="E7"/>
          <cell r="G7" t="str">
            <v>한국연구재단</v>
          </cell>
          <cell r="H7"/>
        </row>
        <row r="8">
          <cell r="B8" t="str">
            <v>2025.05.01-2026.04.30</v>
          </cell>
          <cell r="C8"/>
          <cell r="D8"/>
          <cell r="E8"/>
          <cell r="G8" t="str">
            <v>중견연구자지원사업</v>
          </cell>
          <cell r="H8"/>
        </row>
      </sheetData>
      <sheetData sheetId="3"/>
      <sheetData sheetId="4">
        <row r="12">
          <cell r="B12" t="str">
            <v>이상훈</v>
          </cell>
        </row>
        <row r="13">
          <cell r="B13" t="str">
            <v>임재섭</v>
          </cell>
        </row>
        <row r="14">
          <cell r="B14" t="str">
            <v>여민수</v>
          </cell>
        </row>
        <row r="15">
          <cell r="B15" t="str">
            <v>김성제</v>
          </cell>
        </row>
        <row r="16">
          <cell r="B16" t="str">
            <v>임주희</v>
          </cell>
        </row>
        <row r="17">
          <cell r="B17" t="str">
            <v>최민진</v>
          </cell>
        </row>
        <row r="18">
          <cell r="B18" t="str">
            <v>박준오</v>
          </cell>
        </row>
        <row r="19">
          <cell r="B19" t="str">
            <v>류주형</v>
          </cell>
        </row>
        <row r="20">
          <cell r="B20" t="str">
            <v>임재섭</v>
          </cell>
        </row>
        <row r="21">
          <cell r="B21"/>
        </row>
        <row r="22">
          <cell r="B22"/>
        </row>
        <row r="23">
          <cell r="B23"/>
        </row>
        <row r="24">
          <cell r="B24"/>
        </row>
        <row r="25">
          <cell r="B25"/>
        </row>
        <row r="26">
          <cell r="B26"/>
        </row>
        <row r="27">
          <cell r="B27"/>
        </row>
        <row r="28">
          <cell r="B28"/>
        </row>
        <row r="29">
          <cell r="B29"/>
        </row>
        <row r="30">
          <cell r="B30"/>
        </row>
        <row r="31">
          <cell r="B31"/>
        </row>
        <row r="32">
          <cell r="B32"/>
        </row>
        <row r="33">
          <cell r="B33"/>
        </row>
        <row r="34">
          <cell r="B34"/>
        </row>
        <row r="35">
          <cell r="B35"/>
        </row>
        <row r="36">
          <cell r="B36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0807-E42C-4EC9-9EE0-F0236EEFF3DD}">
  <sheetPr>
    <pageSetUpPr fitToPage="1"/>
  </sheetPr>
  <dimension ref="A1:AE45"/>
  <sheetViews>
    <sheetView showGridLines="0" tabSelected="1" view="pageBreakPreview" zoomScale="150" zoomScaleNormal="100" zoomScaleSheetLayoutView="88" workbookViewId="0">
      <selection activeCell="B6" sqref="B6:D6"/>
    </sheetView>
  </sheetViews>
  <sheetFormatPr baseColWidth="10" defaultColWidth="9" defaultRowHeight="15"/>
  <cols>
    <col min="1" max="1" width="18.83203125" style="1" customWidth="1"/>
    <col min="2" max="2" width="10.1640625" style="1" customWidth="1"/>
    <col min="3" max="3" width="10.83203125" style="1" customWidth="1"/>
    <col min="4" max="4" width="12.83203125" style="1" customWidth="1"/>
    <col min="5" max="5" width="13" style="1" bestFit="1" customWidth="1"/>
    <col min="6" max="6" width="11" style="1" bestFit="1" customWidth="1"/>
    <col min="7" max="7" width="9.5" style="1" customWidth="1"/>
    <col min="8" max="8" width="1.83203125" style="1" customWidth="1"/>
    <col min="9" max="9" width="8.5" style="1" customWidth="1"/>
    <col min="10" max="10" width="2.33203125" style="1" customWidth="1"/>
    <col min="11" max="11" width="11.33203125" style="1" customWidth="1"/>
    <col min="12" max="12" width="10" style="1" customWidth="1"/>
    <col min="13" max="13" width="9" style="1"/>
    <col min="14" max="14" width="15.5" style="1" bestFit="1" customWidth="1"/>
    <col min="15" max="15" width="16" style="1" bestFit="1" customWidth="1"/>
    <col min="16" max="16" width="11.83203125" style="1" bestFit="1" customWidth="1"/>
    <col min="17" max="17" width="15.5" style="1" bestFit="1" customWidth="1"/>
    <col min="18" max="18" width="21.1640625" style="1" customWidth="1"/>
    <col min="19" max="19" width="9" style="1"/>
    <col min="20" max="20" width="16.1640625" style="1" customWidth="1"/>
    <col min="21" max="22" width="9" style="1"/>
    <col min="23" max="23" width="9.6640625" style="1" customWidth="1"/>
    <col min="24" max="24" width="13" style="1" bestFit="1" customWidth="1"/>
    <col min="25" max="25" width="11" style="1" bestFit="1" customWidth="1"/>
    <col min="26" max="26" width="11.1640625" style="1" customWidth="1"/>
    <col min="27" max="27" width="1.83203125" style="1" customWidth="1"/>
    <col min="28" max="28" width="11.1640625" style="1" customWidth="1"/>
    <col min="29" max="29" width="2.33203125" style="1" customWidth="1"/>
    <col min="30" max="30" width="12.6640625" style="1" customWidth="1"/>
    <col min="31" max="31" width="10.1640625" style="1" customWidth="1"/>
    <col min="32" max="16384" width="9" style="1"/>
  </cols>
  <sheetData>
    <row r="1" spans="1:31" ht="33.75" customHeight="1"/>
    <row r="2" spans="1:31" ht="32.25" customHeight="1">
      <c r="A2" s="1" t="s">
        <v>0</v>
      </c>
      <c r="J2" s="2"/>
      <c r="T2" s="1" t="s">
        <v>1</v>
      </c>
      <c r="AC2" s="2"/>
    </row>
    <row r="3" spans="1:31" ht="29">
      <c r="A3" s="145" t="s">
        <v>2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T3" s="145" t="s">
        <v>3</v>
      </c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</row>
    <row r="4" spans="1:31" ht="16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27" customHeight="1">
      <c r="A5" s="4" t="s">
        <v>4</v>
      </c>
      <c r="B5" s="117" t="s">
        <v>161</v>
      </c>
      <c r="C5" s="117"/>
      <c r="D5" s="117"/>
      <c r="E5" s="97" t="s">
        <v>5</v>
      </c>
      <c r="F5" s="97"/>
      <c r="G5" s="117" t="str">
        <f>'[2]1'!G6:H6</f>
        <v>이 상 훈</v>
      </c>
      <c r="H5" s="117"/>
      <c r="I5" s="117"/>
      <c r="J5" s="117"/>
      <c r="K5" s="117"/>
      <c r="L5" s="117"/>
      <c r="N5" s="146" t="s">
        <v>6</v>
      </c>
      <c r="O5" s="146"/>
      <c r="P5" s="146"/>
      <c r="Q5" s="146"/>
      <c r="R5" s="146"/>
      <c r="T5" s="5" t="s">
        <v>7</v>
      </c>
      <c r="U5" s="123" t="str">
        <f>'[2]1'!B6</f>
        <v>339-20250011</v>
      </c>
      <c r="V5" s="123"/>
      <c r="W5" s="123"/>
      <c r="X5" s="105" t="s">
        <v>8</v>
      </c>
      <c r="Y5" s="115"/>
      <c r="Z5" s="123" t="str">
        <f>'[2]1'!G6</f>
        <v>이 상 훈</v>
      </c>
      <c r="AA5" s="123"/>
      <c r="AB5" s="123"/>
      <c r="AC5" s="123"/>
      <c r="AD5" s="123"/>
      <c r="AE5" s="123"/>
    </row>
    <row r="6" spans="1:31" ht="27" customHeight="1">
      <c r="A6" s="4" t="s">
        <v>9</v>
      </c>
      <c r="B6" s="141" t="str">
        <f>'[2]1'!B7:E7</f>
        <v>인간 뇌의 감각 및 기억 시스템에 형성되는 신경표상의 분리를 통한환경-적응적 과거효과의 발생원인과 신경원천 규명</v>
      </c>
      <c r="C6" s="141"/>
      <c r="D6" s="141"/>
      <c r="E6" s="97" t="s">
        <v>10</v>
      </c>
      <c r="F6" s="97"/>
      <c r="G6" s="117" t="str">
        <f>'[2]1'!G7:H7</f>
        <v>한국연구재단</v>
      </c>
      <c r="H6" s="117"/>
      <c r="I6" s="117"/>
      <c r="J6" s="117"/>
      <c r="K6" s="117"/>
      <c r="L6" s="117"/>
      <c r="R6" s="6" t="s">
        <v>11</v>
      </c>
      <c r="T6" s="5" t="s">
        <v>12</v>
      </c>
      <c r="U6" s="142" t="str">
        <f>'[2]1'!B7</f>
        <v>인간 뇌의 감각 및 기억 시스템에 형성되는 신경표상의 분리를 통한환경-적응적 과거효과의 발생원인과 신경원천 규명</v>
      </c>
      <c r="V6" s="143"/>
      <c r="W6" s="144"/>
      <c r="X6" s="105" t="s">
        <v>13</v>
      </c>
      <c r="Y6" s="106"/>
      <c r="Z6" s="128" t="str">
        <f>'[2]1'!G7</f>
        <v>한국연구재단</v>
      </c>
      <c r="AA6" s="129"/>
      <c r="AB6" s="129"/>
      <c r="AC6" s="129"/>
      <c r="AD6" s="129"/>
      <c r="AE6" s="130"/>
    </row>
    <row r="7" spans="1:31" ht="26.5" customHeight="1">
      <c r="A7" s="4" t="s">
        <v>14</v>
      </c>
      <c r="B7" s="117" t="str">
        <f>'[2]1'!B8:E8</f>
        <v>2025.05.01-2026.04.30</v>
      </c>
      <c r="C7" s="117"/>
      <c r="D7" s="117"/>
      <c r="E7" s="97" t="s">
        <v>15</v>
      </c>
      <c r="F7" s="97"/>
      <c r="G7" s="117" t="str">
        <f>'[2]1'!G8:H8</f>
        <v>중견연구자지원사업</v>
      </c>
      <c r="H7" s="117"/>
      <c r="I7" s="117"/>
      <c r="J7" s="117"/>
      <c r="K7" s="117"/>
      <c r="L7" s="117"/>
      <c r="N7" s="96" t="s">
        <v>16</v>
      </c>
      <c r="O7" s="5" t="s">
        <v>17</v>
      </c>
      <c r="P7" s="5" t="s">
        <v>18</v>
      </c>
      <c r="Q7" s="5" t="s">
        <v>19</v>
      </c>
      <c r="R7" s="5" t="s">
        <v>20</v>
      </c>
      <c r="T7" s="5" t="s">
        <v>21</v>
      </c>
      <c r="U7" s="123" t="str">
        <f>'[2]1'!B8</f>
        <v>2025.05.01-2026.04.30</v>
      </c>
      <c r="V7" s="123"/>
      <c r="W7" s="123"/>
      <c r="X7" s="105" t="s">
        <v>22</v>
      </c>
      <c r="Y7" s="115"/>
      <c r="Z7" s="123" t="str">
        <f>'[2]1'!G8</f>
        <v>중견연구자지원사업</v>
      </c>
      <c r="AA7" s="123"/>
      <c r="AB7" s="123"/>
      <c r="AC7" s="123"/>
      <c r="AD7" s="123"/>
      <c r="AE7" s="123"/>
    </row>
    <row r="8" spans="1:31" ht="26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N8" s="96"/>
      <c r="O8" s="5" t="s">
        <v>23</v>
      </c>
      <c r="P8" s="5" t="s">
        <v>24</v>
      </c>
      <c r="Q8" s="5" t="s">
        <v>25</v>
      </c>
      <c r="R8" s="5" t="s">
        <v>25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ht="33" customHeight="1">
      <c r="A9" s="4" t="s">
        <v>26</v>
      </c>
      <c r="B9" s="131" t="s">
        <v>27</v>
      </c>
      <c r="C9" s="131"/>
      <c r="D9" s="131"/>
      <c r="E9" s="97" t="s">
        <v>28</v>
      </c>
      <c r="F9" s="97"/>
      <c r="G9" s="138" t="s">
        <v>163</v>
      </c>
      <c r="H9" s="138"/>
      <c r="I9" s="139" t="s">
        <v>29</v>
      </c>
      <c r="J9" s="139"/>
      <c r="K9" s="138" t="s">
        <v>164</v>
      </c>
      <c r="L9" s="138"/>
      <c r="N9" s="126" t="s">
        <v>30</v>
      </c>
      <c r="O9" s="140" t="s">
        <v>31</v>
      </c>
      <c r="P9" s="140" t="s">
        <v>32</v>
      </c>
      <c r="Q9" s="123" t="s">
        <v>33</v>
      </c>
      <c r="R9" s="123" t="s">
        <v>34</v>
      </c>
      <c r="T9" s="5" t="s">
        <v>35</v>
      </c>
      <c r="U9" s="66" t="s">
        <v>36</v>
      </c>
      <c r="V9" s="127"/>
      <c r="W9" s="67"/>
      <c r="X9" s="105" t="s">
        <v>37</v>
      </c>
      <c r="Y9" s="115"/>
      <c r="Z9" s="133"/>
      <c r="AA9" s="134"/>
      <c r="AB9" s="134"/>
      <c r="AC9" s="134"/>
      <c r="AD9" s="134"/>
      <c r="AE9" s="135"/>
    </row>
    <row r="10" spans="1:31" ht="27" customHeight="1">
      <c r="A10" s="4" t="s">
        <v>38</v>
      </c>
      <c r="B10" s="8" t="s">
        <v>39</v>
      </c>
      <c r="C10" s="136" t="s">
        <v>167</v>
      </c>
      <c r="D10" s="136"/>
      <c r="E10" s="122" t="s">
        <v>40</v>
      </c>
      <c r="F10" s="122"/>
      <c r="G10" s="9">
        <v>0.625</v>
      </c>
      <c r="H10" s="10" t="s">
        <v>41</v>
      </c>
      <c r="I10" s="9">
        <v>0.66666666666666663</v>
      </c>
      <c r="J10" s="10" t="s">
        <v>42</v>
      </c>
      <c r="K10" s="11">
        <f>I10-G10</f>
        <v>4.166666666666663E-2</v>
      </c>
      <c r="L10" s="12" t="s">
        <v>43</v>
      </c>
      <c r="N10" s="132"/>
      <c r="O10" s="140"/>
      <c r="P10" s="140"/>
      <c r="Q10" s="123"/>
      <c r="R10" s="123"/>
      <c r="T10" s="5" t="s">
        <v>44</v>
      </c>
      <c r="U10" s="13" t="s">
        <v>45</v>
      </c>
      <c r="V10" s="137"/>
      <c r="W10" s="137"/>
      <c r="X10" s="82" t="s">
        <v>46</v>
      </c>
      <c r="Y10" s="83"/>
      <c r="Z10" s="14"/>
      <c r="AA10" s="15" t="s">
        <v>41</v>
      </c>
      <c r="AB10" s="14"/>
      <c r="AC10" s="15" t="s">
        <v>42</v>
      </c>
      <c r="AD10" s="16">
        <f>AB10-Z10</f>
        <v>0</v>
      </c>
      <c r="AE10" s="17" t="s">
        <v>47</v>
      </c>
    </row>
    <row r="11" spans="1:31" ht="27" customHeight="1">
      <c r="A11" s="4" t="s">
        <v>48</v>
      </c>
      <c r="B11" s="131">
        <v>6</v>
      </c>
      <c r="C11" s="131"/>
      <c r="D11" s="18" t="s">
        <v>49</v>
      </c>
      <c r="E11" s="97" t="s">
        <v>50</v>
      </c>
      <c r="F11" s="97"/>
      <c r="G11" s="117" t="s">
        <v>162</v>
      </c>
      <c r="H11" s="117"/>
      <c r="I11" s="117"/>
      <c r="J11" s="97" t="s">
        <v>51</v>
      </c>
      <c r="K11" s="97"/>
      <c r="L11" s="19" t="s">
        <v>168</v>
      </c>
      <c r="N11" s="126" t="s">
        <v>52</v>
      </c>
      <c r="O11" s="123" t="s">
        <v>53</v>
      </c>
      <c r="P11" s="123" t="s">
        <v>32</v>
      </c>
      <c r="Q11" s="123" t="s">
        <v>54</v>
      </c>
      <c r="R11" s="123" t="s">
        <v>55</v>
      </c>
      <c r="T11" s="5" t="s">
        <v>56</v>
      </c>
      <c r="U11" s="66"/>
      <c r="V11" s="127"/>
      <c r="W11" s="20" t="s">
        <v>57</v>
      </c>
      <c r="X11" s="105" t="s">
        <v>58</v>
      </c>
      <c r="Y11" s="115"/>
      <c r="Z11" s="128" t="s">
        <v>59</v>
      </c>
      <c r="AA11" s="129"/>
      <c r="AB11" s="130"/>
      <c r="AC11" s="105" t="s">
        <v>60</v>
      </c>
      <c r="AD11" s="106"/>
      <c r="AE11" s="21"/>
    </row>
    <row r="12" spans="1:31" ht="26.25" customHeight="1">
      <c r="A12" s="4" t="s">
        <v>61</v>
      </c>
      <c r="B12" s="117" t="s">
        <v>165</v>
      </c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N12" s="132"/>
      <c r="O12" s="123"/>
      <c r="P12" s="123"/>
      <c r="Q12" s="123"/>
      <c r="R12" s="123"/>
      <c r="T12" s="5" t="s">
        <v>62</v>
      </c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</row>
    <row r="13" spans="1:31" ht="32">
      <c r="A13" s="4" t="s">
        <v>63</v>
      </c>
      <c r="B13" s="117" t="s">
        <v>166</v>
      </c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N13" s="124" t="s">
        <v>64</v>
      </c>
      <c r="O13" s="125"/>
      <c r="P13" s="125"/>
      <c r="Q13" s="125"/>
      <c r="R13" s="125"/>
      <c r="S13" s="22"/>
      <c r="T13" s="5" t="s">
        <v>65</v>
      </c>
      <c r="U13" s="126"/>
      <c r="V13" s="126"/>
      <c r="W13" s="126"/>
      <c r="X13" s="126"/>
      <c r="Y13" s="126"/>
      <c r="Z13" s="123"/>
      <c r="AA13" s="123"/>
      <c r="AB13" s="123"/>
      <c r="AC13" s="123"/>
      <c r="AD13" s="123"/>
      <c r="AE13" s="123"/>
    </row>
    <row r="14" spans="1:31" ht="33.75" customHeight="1">
      <c r="A14" s="97" t="s">
        <v>66</v>
      </c>
      <c r="B14" s="97" t="s">
        <v>67</v>
      </c>
      <c r="C14" s="97"/>
      <c r="D14" s="97"/>
      <c r="E14" s="97"/>
      <c r="F14" s="97"/>
      <c r="G14" s="97" t="s">
        <v>68</v>
      </c>
      <c r="H14" s="97"/>
      <c r="I14" s="97"/>
      <c r="J14" s="97"/>
      <c r="K14" s="97"/>
      <c r="L14" s="97"/>
      <c r="N14" s="116" t="s">
        <v>69</v>
      </c>
      <c r="O14" s="116"/>
      <c r="P14" s="116"/>
      <c r="Q14" s="116"/>
      <c r="R14" s="116"/>
      <c r="S14" s="23"/>
      <c r="T14" s="96" t="s">
        <v>70</v>
      </c>
      <c r="U14" s="96" t="s">
        <v>71</v>
      </c>
      <c r="V14" s="96"/>
      <c r="W14" s="96"/>
      <c r="X14" s="96"/>
      <c r="Y14" s="96"/>
      <c r="Z14" s="106" t="s">
        <v>72</v>
      </c>
      <c r="AA14" s="106"/>
      <c r="AB14" s="96"/>
      <c r="AC14" s="96"/>
      <c r="AD14" s="96"/>
      <c r="AE14" s="96"/>
    </row>
    <row r="15" spans="1:31" ht="27.75" customHeight="1">
      <c r="A15" s="97"/>
      <c r="B15" s="97" t="s">
        <v>73</v>
      </c>
      <c r="C15" s="97"/>
      <c r="D15" s="4" t="s">
        <v>74</v>
      </c>
      <c r="E15" s="4" t="s">
        <v>75</v>
      </c>
      <c r="F15" s="4" t="s">
        <v>76</v>
      </c>
      <c r="G15" s="97" t="s">
        <v>77</v>
      </c>
      <c r="H15" s="97"/>
      <c r="I15" s="97" t="s">
        <v>78</v>
      </c>
      <c r="J15" s="97"/>
      <c r="K15" s="97"/>
      <c r="L15" s="4" t="s">
        <v>79</v>
      </c>
      <c r="N15" s="113" t="s">
        <v>80</v>
      </c>
      <c r="O15" s="114"/>
      <c r="P15" s="114"/>
      <c r="Q15" s="114"/>
      <c r="R15" s="114"/>
      <c r="S15" s="24"/>
      <c r="T15" s="96"/>
      <c r="U15" s="96" t="s">
        <v>81</v>
      </c>
      <c r="V15" s="96"/>
      <c r="W15" s="5" t="s">
        <v>82</v>
      </c>
      <c r="X15" s="5" t="s">
        <v>83</v>
      </c>
      <c r="Y15" s="5" t="s">
        <v>84</v>
      </c>
      <c r="Z15" s="115" t="s">
        <v>85</v>
      </c>
      <c r="AA15" s="106"/>
      <c r="AB15" s="105" t="s">
        <v>86</v>
      </c>
      <c r="AC15" s="115"/>
      <c r="AD15" s="106"/>
      <c r="AE15" s="5" t="s">
        <v>87</v>
      </c>
    </row>
    <row r="16" spans="1:31" ht="30" customHeight="1">
      <c r="A16" s="97"/>
      <c r="B16" s="117"/>
      <c r="C16" s="117"/>
      <c r="D16" s="25"/>
      <c r="E16" s="25"/>
      <c r="F16" s="25"/>
      <c r="G16" s="85"/>
      <c r="H16" s="85"/>
      <c r="I16" s="85"/>
      <c r="J16" s="85"/>
      <c r="K16" s="85"/>
      <c r="L16" s="26"/>
      <c r="R16" s="6" t="s">
        <v>11</v>
      </c>
      <c r="T16" s="96"/>
      <c r="U16" s="118"/>
      <c r="V16" s="119"/>
      <c r="W16" s="27"/>
      <c r="X16" s="27"/>
      <c r="Y16" s="27"/>
      <c r="Z16" s="87"/>
      <c r="AA16" s="88"/>
      <c r="AB16" s="87"/>
      <c r="AC16" s="120"/>
      <c r="AD16" s="88"/>
      <c r="AE16" s="28"/>
    </row>
    <row r="17" spans="1:31" ht="27" customHeight="1">
      <c r="A17" s="97"/>
      <c r="B17" s="121" t="s">
        <v>169</v>
      </c>
      <c r="C17" s="121"/>
      <c r="D17" s="122" t="s">
        <v>88</v>
      </c>
      <c r="E17" s="122"/>
      <c r="F17" s="97" t="s">
        <v>89</v>
      </c>
      <c r="G17" s="97"/>
      <c r="H17" s="97"/>
      <c r="I17" s="97"/>
      <c r="J17" s="97"/>
      <c r="K17" s="97"/>
      <c r="L17" s="97" t="s">
        <v>90</v>
      </c>
      <c r="N17" s="13" t="s">
        <v>91</v>
      </c>
      <c r="O17" s="13" t="s">
        <v>92</v>
      </c>
      <c r="P17" s="89" t="s">
        <v>93</v>
      </c>
      <c r="Q17" s="89"/>
      <c r="R17" s="89"/>
      <c r="T17" s="96"/>
      <c r="U17" s="90" t="s">
        <v>94</v>
      </c>
      <c r="V17" s="91"/>
      <c r="W17" s="89" t="s">
        <v>95</v>
      </c>
      <c r="X17" s="89"/>
      <c r="Y17" s="96" t="s">
        <v>96</v>
      </c>
      <c r="Z17" s="96"/>
      <c r="AA17" s="96"/>
      <c r="AB17" s="96"/>
      <c r="AC17" s="96"/>
      <c r="AD17" s="96"/>
      <c r="AE17" s="96" t="s">
        <v>97</v>
      </c>
    </row>
    <row r="18" spans="1:31" ht="20.25" customHeight="1">
      <c r="A18" s="97"/>
      <c r="B18" s="121"/>
      <c r="C18" s="121"/>
      <c r="D18" s="122"/>
      <c r="E18" s="122"/>
      <c r="F18" s="4" t="s">
        <v>98</v>
      </c>
      <c r="G18" s="97" t="s">
        <v>99</v>
      </c>
      <c r="H18" s="97"/>
      <c r="I18" s="97" t="s">
        <v>100</v>
      </c>
      <c r="J18" s="97"/>
      <c r="K18" s="4" t="s">
        <v>101</v>
      </c>
      <c r="L18" s="97"/>
      <c r="N18" s="98" t="s">
        <v>102</v>
      </c>
      <c r="O18" s="101" t="s">
        <v>32</v>
      </c>
      <c r="P18" s="104" t="s">
        <v>103</v>
      </c>
      <c r="Q18" s="104"/>
      <c r="R18" s="104"/>
      <c r="T18" s="96"/>
      <c r="U18" s="92"/>
      <c r="V18" s="93"/>
      <c r="W18" s="89"/>
      <c r="X18" s="89"/>
      <c r="Y18" s="5" t="s">
        <v>104</v>
      </c>
      <c r="Z18" s="105" t="s">
        <v>105</v>
      </c>
      <c r="AA18" s="106"/>
      <c r="AB18" s="105" t="s">
        <v>106</v>
      </c>
      <c r="AC18" s="106"/>
      <c r="AD18" s="29" t="s">
        <v>107</v>
      </c>
      <c r="AE18" s="96"/>
    </row>
    <row r="19" spans="1:31" ht="36" customHeight="1">
      <c r="A19" s="97"/>
      <c r="B19" s="121"/>
      <c r="C19" s="121"/>
      <c r="D19" s="84">
        <v>90000</v>
      </c>
      <c r="E19" s="84"/>
      <c r="F19" s="30"/>
      <c r="G19" s="85"/>
      <c r="H19" s="85"/>
      <c r="I19" s="85"/>
      <c r="J19" s="85"/>
      <c r="K19" s="30"/>
      <c r="L19" s="26">
        <f>D19+F19+G19+I19+K19</f>
        <v>90000</v>
      </c>
      <c r="N19" s="99"/>
      <c r="O19" s="102"/>
      <c r="P19" s="104"/>
      <c r="Q19" s="104"/>
      <c r="R19" s="104"/>
      <c r="T19" s="96"/>
      <c r="U19" s="94"/>
      <c r="V19" s="95"/>
      <c r="W19" s="86">
        <v>10</v>
      </c>
      <c r="X19" s="86"/>
      <c r="Y19" s="31">
        <v>10</v>
      </c>
      <c r="Z19" s="87">
        <v>10</v>
      </c>
      <c r="AA19" s="88"/>
      <c r="AB19" s="87">
        <v>10</v>
      </c>
      <c r="AC19" s="88"/>
      <c r="AD19" s="31">
        <v>10</v>
      </c>
      <c r="AE19" s="28">
        <f>W19+Y19+Z19+AB19+AD19</f>
        <v>50</v>
      </c>
    </row>
    <row r="20" spans="1:31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9"/>
      <c r="N20" s="99"/>
      <c r="O20" s="102"/>
      <c r="P20" s="104"/>
      <c r="Q20" s="104"/>
      <c r="R20" s="104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</row>
    <row r="21" spans="1:31">
      <c r="A21" s="108" t="s">
        <v>108</v>
      </c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9"/>
      <c r="N21" s="99"/>
      <c r="O21" s="102"/>
      <c r="P21" s="104"/>
      <c r="Q21" s="104"/>
      <c r="R21" s="104"/>
      <c r="T21" s="108" t="s">
        <v>109</v>
      </c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</row>
    <row r="22" spans="1:31" ht="16.5" customHeight="1">
      <c r="A22" s="32" t="s">
        <v>110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4"/>
      <c r="N22" s="99"/>
      <c r="O22" s="102"/>
      <c r="P22" s="104"/>
      <c r="Q22" s="104"/>
      <c r="R22" s="104"/>
      <c r="T22" s="64" t="s">
        <v>111</v>
      </c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</row>
    <row r="23" spans="1:31" ht="16">
      <c r="A23" s="32" t="s">
        <v>112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4"/>
      <c r="N23" s="99"/>
      <c r="O23" s="102"/>
      <c r="P23" s="104"/>
      <c r="Q23" s="104"/>
      <c r="R23" s="10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</row>
    <row r="24" spans="1:31" ht="16">
      <c r="A24" s="32" t="s">
        <v>113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4"/>
      <c r="N24" s="100"/>
      <c r="O24" s="103"/>
      <c r="P24" s="104"/>
      <c r="Q24" s="104"/>
      <c r="R24" s="10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</row>
    <row r="25" spans="1:31">
      <c r="A25" s="32" t="s">
        <v>114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4"/>
      <c r="N25" s="1" t="s">
        <v>115</v>
      </c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</row>
    <row r="26" spans="1:31">
      <c r="A26" s="32" t="s">
        <v>116</v>
      </c>
      <c r="B26"/>
      <c r="C26"/>
      <c r="D26"/>
      <c r="E26"/>
      <c r="F26"/>
      <c r="G26"/>
      <c r="H26"/>
      <c r="I26"/>
      <c r="J26"/>
      <c r="K26"/>
      <c r="L26" s="35"/>
      <c r="N26" s="36"/>
      <c r="R26" s="6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</row>
    <row r="27" spans="1:31">
      <c r="A27" s="32"/>
      <c r="B27"/>
      <c r="C27"/>
      <c r="D27"/>
      <c r="E27"/>
      <c r="F27"/>
      <c r="G27"/>
      <c r="H27"/>
      <c r="I27"/>
      <c r="J27"/>
      <c r="K27"/>
      <c r="L27" s="35"/>
      <c r="N27" s="36" t="s">
        <v>117</v>
      </c>
      <c r="R27" s="6" t="s">
        <v>11</v>
      </c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</row>
    <row r="28" spans="1:31">
      <c r="A28" s="32" t="s">
        <v>118</v>
      </c>
      <c r="B28"/>
      <c r="C28"/>
      <c r="D28"/>
      <c r="E28"/>
      <c r="F28" s="33" t="s">
        <v>119</v>
      </c>
      <c r="G28"/>
      <c r="H28"/>
      <c r="I28" s="33" t="s">
        <v>120</v>
      </c>
      <c r="J28" s="33"/>
      <c r="K28"/>
      <c r="L28" s="35"/>
      <c r="N28" s="111" t="s">
        <v>121</v>
      </c>
      <c r="O28" s="112"/>
      <c r="P28" s="8" t="s">
        <v>122</v>
      </c>
      <c r="Q28" s="8" t="s">
        <v>123</v>
      </c>
      <c r="R28" s="8" t="s">
        <v>124</v>
      </c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</row>
    <row r="29" spans="1:31">
      <c r="A29" s="32" t="s">
        <v>125</v>
      </c>
      <c r="B29"/>
      <c r="C29"/>
      <c r="D29"/>
      <c r="E29"/>
      <c r="F29" s="33" t="s">
        <v>119</v>
      </c>
      <c r="G29"/>
      <c r="H29"/>
      <c r="I29" s="33" t="s">
        <v>120</v>
      </c>
      <c r="J29" s="33"/>
      <c r="K29"/>
      <c r="L29" s="35"/>
      <c r="N29" s="72" t="s">
        <v>126</v>
      </c>
      <c r="O29" s="73"/>
      <c r="P29" s="37" t="s">
        <v>127</v>
      </c>
      <c r="Q29" s="38" t="s">
        <v>128</v>
      </c>
      <c r="R29" s="38" t="s">
        <v>129</v>
      </c>
      <c r="T29" s="74" t="s">
        <v>130</v>
      </c>
      <c r="U29" s="74"/>
      <c r="V29" s="74"/>
      <c r="W29" s="74"/>
      <c r="X29" s="74"/>
      <c r="Y29" s="74"/>
      <c r="Z29" s="74"/>
      <c r="AA29" s="74"/>
      <c r="AB29" s="39" t="s">
        <v>131</v>
      </c>
      <c r="AC29" s="40"/>
      <c r="AD29" s="40" t="s">
        <v>132</v>
      </c>
      <c r="AE29" s="40"/>
    </row>
    <row r="30" spans="1:31">
      <c r="A30" s="41"/>
      <c r="B30"/>
      <c r="C30"/>
      <c r="D30"/>
      <c r="E30"/>
      <c r="F30"/>
      <c r="G30"/>
      <c r="H30"/>
      <c r="I30"/>
      <c r="J30"/>
      <c r="K30"/>
      <c r="L30" s="35"/>
      <c r="N30" s="72" t="s">
        <v>133</v>
      </c>
      <c r="O30" s="73"/>
      <c r="P30" s="37" t="s">
        <v>127</v>
      </c>
      <c r="Q30" s="38" t="s">
        <v>128</v>
      </c>
      <c r="R30" s="38" t="s">
        <v>129</v>
      </c>
      <c r="T30" s="74" t="s">
        <v>134</v>
      </c>
      <c r="U30" s="74"/>
      <c r="V30" s="74"/>
      <c r="W30" s="74"/>
      <c r="X30" s="74"/>
      <c r="Y30" s="74"/>
      <c r="Z30" s="74"/>
      <c r="AA30" s="74"/>
      <c r="AB30" s="39" t="s">
        <v>131</v>
      </c>
      <c r="AC30" s="40"/>
      <c r="AD30" s="40" t="s">
        <v>132</v>
      </c>
      <c r="AE30" s="40"/>
    </row>
    <row r="31" spans="1:31">
      <c r="A31" s="75" t="s">
        <v>135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7"/>
      <c r="N31" s="72" t="s">
        <v>136</v>
      </c>
      <c r="O31" s="73"/>
      <c r="P31" s="37" t="s">
        <v>127</v>
      </c>
      <c r="Q31" s="38" t="s">
        <v>128</v>
      </c>
      <c r="R31" s="38" t="s">
        <v>129</v>
      </c>
      <c r="T31" s="76" t="s">
        <v>137</v>
      </c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</row>
    <row r="32" spans="1:31" ht="30.75" customHeight="1">
      <c r="A32" s="78" t="s">
        <v>138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80"/>
      <c r="O32" s="7"/>
      <c r="P32" s="7"/>
      <c r="Q32" s="7"/>
      <c r="R32" s="7"/>
      <c r="T32" s="64" t="s">
        <v>139</v>
      </c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 spans="1:31" ht="40.5" customHeight="1">
      <c r="A33" s="78" t="s">
        <v>140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81"/>
      <c r="N33" s="42" t="s">
        <v>141</v>
      </c>
      <c r="R33" s="43" t="s">
        <v>11</v>
      </c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</row>
    <row r="34" spans="1:31" ht="30" customHeight="1">
      <c r="A34" s="78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81"/>
      <c r="N34" s="82" t="s">
        <v>29</v>
      </c>
      <c r="O34" s="83"/>
      <c r="P34" s="82" t="s">
        <v>142</v>
      </c>
      <c r="Q34" s="83"/>
      <c r="R34" s="13" t="s">
        <v>93</v>
      </c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</row>
    <row r="35" spans="1:31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6"/>
      <c r="N35" s="66" t="s">
        <v>143</v>
      </c>
      <c r="O35" s="67"/>
      <c r="P35" s="66" t="s">
        <v>144</v>
      </c>
      <c r="Q35" s="67"/>
      <c r="R35" s="47" t="s">
        <v>145</v>
      </c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</row>
    <row r="36" spans="1:31" ht="19.5" customHeight="1">
      <c r="A36" s="48" t="s">
        <v>146</v>
      </c>
      <c r="B36" s="49"/>
      <c r="C36" s="49"/>
      <c r="D36" s="49"/>
      <c r="E36" s="49"/>
      <c r="F36" s="50" t="s">
        <v>119</v>
      </c>
      <c r="G36" s="49"/>
      <c r="H36" s="49"/>
      <c r="I36" s="50" t="s">
        <v>120</v>
      </c>
      <c r="J36" s="50"/>
      <c r="K36" s="49"/>
      <c r="L36" s="51"/>
      <c r="N36" s="66" t="s">
        <v>147</v>
      </c>
      <c r="O36" s="67"/>
      <c r="P36" s="66" t="s">
        <v>148</v>
      </c>
      <c r="Q36" s="67"/>
      <c r="R36" s="52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</row>
    <row r="37" spans="1:31" ht="17.25" customHeight="1">
      <c r="A37" s="33"/>
      <c r="B37"/>
      <c r="C37"/>
      <c r="D37"/>
      <c r="E37"/>
      <c r="F37" s="33"/>
      <c r="G37"/>
      <c r="H37"/>
      <c r="I37" s="33"/>
      <c r="J37" s="33"/>
      <c r="K37"/>
      <c r="L37"/>
      <c r="N37" s="66" t="s">
        <v>149</v>
      </c>
      <c r="O37" s="67"/>
      <c r="P37" s="66" t="s">
        <v>150</v>
      </c>
      <c r="Q37" s="67"/>
      <c r="R37" s="52"/>
      <c r="T37" s="64" t="s">
        <v>151</v>
      </c>
      <c r="U37" s="64"/>
      <c r="V37" s="64"/>
      <c r="W37" s="64"/>
      <c r="X37" s="64"/>
      <c r="Y37" s="64"/>
      <c r="Z37" s="64"/>
      <c r="AA37" s="53"/>
      <c r="AB37" s="39" t="s">
        <v>131</v>
      </c>
      <c r="AC37" s="40"/>
      <c r="AD37" s="40" t="s">
        <v>132</v>
      </c>
      <c r="AE37" s="53"/>
    </row>
    <row r="38" spans="1:31" ht="16">
      <c r="A38" s="65" t="s">
        <v>152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N38" s="66" t="s">
        <v>153</v>
      </c>
      <c r="O38" s="67"/>
      <c r="P38" s="68" t="s">
        <v>154</v>
      </c>
      <c r="Q38" s="69"/>
      <c r="R38" s="54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</row>
    <row r="39" spans="1:31" s="7" customFormat="1">
      <c r="A39" s="70">
        <f ca="1">TODAY()</f>
        <v>46093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55"/>
      <c r="N39" s="1"/>
      <c r="O39" s="1"/>
      <c r="P39" s="1"/>
      <c r="Q39" s="1"/>
      <c r="R39" s="1"/>
      <c r="T39" s="71">
        <f ca="1">TODAY()</f>
        <v>46093</v>
      </c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</row>
    <row r="40" spans="1:3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</row>
    <row r="41" spans="1:31" ht="16">
      <c r="G41" s="62" t="s">
        <v>155</v>
      </c>
      <c r="H41" s="62"/>
      <c r="I41" s="62"/>
      <c r="J41" s="57"/>
      <c r="K41" s="58" t="str">
        <f>'[2]1'!G6</f>
        <v>이 상 훈</v>
      </c>
      <c r="L41" s="59" t="s">
        <v>156</v>
      </c>
      <c r="AB41" s="57" t="s">
        <v>157</v>
      </c>
      <c r="AC41" s="57"/>
      <c r="AD41" s="57" t="str">
        <f>'[2]1'!G6</f>
        <v>이 상 훈</v>
      </c>
      <c r="AE41" s="59" t="s">
        <v>94</v>
      </c>
    </row>
    <row r="42" spans="1:31" ht="16.5" customHeight="1">
      <c r="I42" s="57"/>
      <c r="J42" s="57"/>
      <c r="K42" s="57"/>
      <c r="L42" s="59"/>
      <c r="AB42" s="57"/>
      <c r="AC42" s="57"/>
      <c r="AD42" s="57"/>
      <c r="AE42" s="59"/>
    </row>
    <row r="43" spans="1:31">
      <c r="A43" s="63" t="s">
        <v>158</v>
      </c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57"/>
      <c r="T43" s="63" t="s">
        <v>159</v>
      </c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</row>
    <row r="44" spans="1:31" ht="16.5" customHeight="1"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59"/>
    </row>
    <row r="45" spans="1:31">
      <c r="A45" s="61" t="s">
        <v>160</v>
      </c>
      <c r="N45" s="60"/>
    </row>
  </sheetData>
  <mergeCells count="132">
    <mergeCell ref="B6:D6"/>
    <mergeCell ref="E6:F6"/>
    <mergeCell ref="G6:L6"/>
    <mergeCell ref="U6:W6"/>
    <mergeCell ref="X6:Y6"/>
    <mergeCell ref="Z6:AE6"/>
    <mergeCell ref="A3:L3"/>
    <mergeCell ref="T3:AE3"/>
    <mergeCell ref="B5:D5"/>
    <mergeCell ref="E5:F5"/>
    <mergeCell ref="G5:L5"/>
    <mergeCell ref="N5:R5"/>
    <mergeCell ref="U5:W5"/>
    <mergeCell ref="X5:Y5"/>
    <mergeCell ref="Z5:AE5"/>
    <mergeCell ref="R9:R10"/>
    <mergeCell ref="U9:W9"/>
    <mergeCell ref="X9:Y9"/>
    <mergeCell ref="Z9:AE9"/>
    <mergeCell ref="C10:D10"/>
    <mergeCell ref="E10:F10"/>
    <mergeCell ref="V10:W10"/>
    <mergeCell ref="X10:Y10"/>
    <mergeCell ref="Z7:AE7"/>
    <mergeCell ref="B9:D9"/>
    <mergeCell ref="E9:F9"/>
    <mergeCell ref="G9:H9"/>
    <mergeCell ref="I9:J9"/>
    <mergeCell ref="K9:L9"/>
    <mergeCell ref="N9:N10"/>
    <mergeCell ref="O9:O10"/>
    <mergeCell ref="P9:P10"/>
    <mergeCell ref="Q9:Q10"/>
    <mergeCell ref="B7:D7"/>
    <mergeCell ref="E7:F7"/>
    <mergeCell ref="G7:L7"/>
    <mergeCell ref="N7:N8"/>
    <mergeCell ref="U7:W7"/>
    <mergeCell ref="X7:Y7"/>
    <mergeCell ref="AC11:AD11"/>
    <mergeCell ref="B12:L12"/>
    <mergeCell ref="U12:AE12"/>
    <mergeCell ref="B13:L13"/>
    <mergeCell ref="N13:R13"/>
    <mergeCell ref="U13:AE13"/>
    <mergeCell ref="P11:P12"/>
    <mergeCell ref="Q11:Q12"/>
    <mergeCell ref="R11:R12"/>
    <mergeCell ref="U11:V11"/>
    <mergeCell ref="X11:Y11"/>
    <mergeCell ref="Z11:AB11"/>
    <mergeCell ref="B11:C11"/>
    <mergeCell ref="E11:F11"/>
    <mergeCell ref="G11:I11"/>
    <mergeCell ref="J11:K11"/>
    <mergeCell ref="N11:N12"/>
    <mergeCell ref="O11:O12"/>
    <mergeCell ref="Z14:AE14"/>
    <mergeCell ref="B15:C15"/>
    <mergeCell ref="G15:H15"/>
    <mergeCell ref="I15:K15"/>
    <mergeCell ref="N15:R15"/>
    <mergeCell ref="U15:V15"/>
    <mergeCell ref="Z15:AA15"/>
    <mergeCell ref="AB15:AD15"/>
    <mergeCell ref="A14:A19"/>
    <mergeCell ref="B14:F14"/>
    <mergeCell ref="G14:L14"/>
    <mergeCell ref="N14:R14"/>
    <mergeCell ref="T14:T19"/>
    <mergeCell ref="U14:Y14"/>
    <mergeCell ref="B16:C16"/>
    <mergeCell ref="G16:H16"/>
    <mergeCell ref="I16:K16"/>
    <mergeCell ref="U16:V16"/>
    <mergeCell ref="Z16:AA16"/>
    <mergeCell ref="AB16:AD16"/>
    <mergeCell ref="B17:C19"/>
    <mergeCell ref="D17:E18"/>
    <mergeCell ref="F17:K17"/>
    <mergeCell ref="L17:L18"/>
    <mergeCell ref="P17:R17"/>
    <mergeCell ref="U17:V19"/>
    <mergeCell ref="W17:X18"/>
    <mergeCell ref="Y17:AD17"/>
    <mergeCell ref="AE17:AE18"/>
    <mergeCell ref="G18:H18"/>
    <mergeCell ref="I18:J18"/>
    <mergeCell ref="N18:N24"/>
    <mergeCell ref="O18:O24"/>
    <mergeCell ref="P18:R24"/>
    <mergeCell ref="Z18:AA18"/>
    <mergeCell ref="AB18:AC18"/>
    <mergeCell ref="A20:L20"/>
    <mergeCell ref="T20:AE20"/>
    <mergeCell ref="A21:L21"/>
    <mergeCell ref="T21:AE21"/>
    <mergeCell ref="T22:AE28"/>
    <mergeCell ref="N28:O28"/>
    <mergeCell ref="N29:O29"/>
    <mergeCell ref="T29:AA29"/>
    <mergeCell ref="D19:E19"/>
    <mergeCell ref="G19:H19"/>
    <mergeCell ref="I19:J19"/>
    <mergeCell ref="W19:X19"/>
    <mergeCell ref="Z19:AA19"/>
    <mergeCell ref="AB19:AC19"/>
    <mergeCell ref="N35:O35"/>
    <mergeCell ref="P35:Q35"/>
    <mergeCell ref="N36:O36"/>
    <mergeCell ref="P36:Q36"/>
    <mergeCell ref="N37:O37"/>
    <mergeCell ref="P37:Q37"/>
    <mergeCell ref="N30:O30"/>
    <mergeCell ref="T30:AA30"/>
    <mergeCell ref="A31:L31"/>
    <mergeCell ref="N31:O31"/>
    <mergeCell ref="T31:AE31"/>
    <mergeCell ref="A32:L32"/>
    <mergeCell ref="T32:AE36"/>
    <mergeCell ref="A33:L34"/>
    <mergeCell ref="N34:O34"/>
    <mergeCell ref="P34:Q34"/>
    <mergeCell ref="G41:I41"/>
    <mergeCell ref="A43:L43"/>
    <mergeCell ref="T43:AE43"/>
    <mergeCell ref="T37:Z37"/>
    <mergeCell ref="A38:L38"/>
    <mergeCell ref="N38:O38"/>
    <mergeCell ref="P38:Q38"/>
    <mergeCell ref="A39:L39"/>
    <mergeCell ref="T39:AE39"/>
  </mergeCells>
  <phoneticPr fontId="3" type="noConversion"/>
  <dataValidations count="12">
    <dataValidation allowBlank="1" showInputMessage="1" showErrorMessage="1" prompt=" yyyy-mm-dd_x000a_      (년-월-일)" sqref="C10:D10" xr:uid="{091B2974-0D39-4DB0-BFD8-751FC8DB7E28}"/>
    <dataValidation allowBlank="1" showInputMessage="1" showErrorMessage="1" prompt="시:분_x000a_(24시간제)" sqref="G10 I10 Z10 AB10" xr:uid="{CE12E879-1CEF-495F-BE36-39052E64E016}"/>
    <dataValidation type="list" allowBlank="1" showInputMessage="1" showErrorMessage="1" sqref="Z11:AB11" xr:uid="{6676797F-9D79-4079-810A-77FFB6158189}">
      <formula1>"Superior(Senior),Junior(Assistant)"</formula1>
    </dataValidation>
    <dataValidation type="list" allowBlank="1" showInputMessage="1" showErrorMessage="1" sqref="W11" xr:uid="{09967AEE-B000-4681-8470-E8BF4EE8EBA5}">
      <formula1>"hour(s),time(s),sheet(s),words"</formula1>
    </dataValidation>
    <dataValidation type="list" allowBlank="1" showInputMessage="1" showErrorMessage="1" sqref="Z9" xr:uid="{EC72DB97-22EC-4EF8-B427-9E7FCAA2A4BD}">
      <formula1>"contact,untact"</formula1>
    </dataValidation>
    <dataValidation type="list" allowBlank="1" showInputMessage="1" showErrorMessage="1" sqref="U9:W9" xr:uid="{B9098C9F-1D84-4647-9306-5EAFA2D19567}">
      <formula1>"Meeting,Manuscript,Lecture,Consultation,Translation,Interpretation,Shorthand,Part-time employment,Reward,Survey"</formula1>
    </dataValidation>
    <dataValidation allowBlank="1" showInputMessage="1" showErrorMessage="1" prompt="yymmdd_x000a_(년-월-일)" sqref="V10:W10" xr:uid="{ACAB557A-56C8-48E0-9802-D218F9B0FFFE}"/>
    <dataValidation type="list" allowBlank="1" showInputMessage="1" showErrorMessage="1" sqref="K9:L9" xr:uid="{C75A6BE2-78E9-4906-B3B8-ABE2FE54622B}">
      <formula1>"내국인, 외국인"</formula1>
    </dataValidation>
    <dataValidation type="list" allowBlank="1" showInputMessage="1" showErrorMessage="1" sqref="G11:I11" xr:uid="{7AF4E5F5-086B-4A03-ADB6-23DAC7CDB3A0}">
      <formula1>"연구책임자 급,연구자 급"</formula1>
    </dataValidation>
    <dataValidation type="list" allowBlank="1" showInputMessage="1" showErrorMessage="1" sqref="G9" xr:uid="{29FA51D8-8DC5-4049-8B7F-BB6DDEDD4BBE}">
      <formula1>"대면, 비대면"</formula1>
    </dataValidation>
    <dataValidation type="list" allowBlank="1" showInputMessage="1" showErrorMessage="1" sqref="D11" xr:uid="{0E22BE82-A7BF-4A9E-A1FC-7EC3655EE17A}">
      <formula1>"시간,회,장,words"</formula1>
    </dataValidation>
    <dataValidation type="list" allowBlank="1" showInputMessage="1" showErrorMessage="1" sqref="B9" xr:uid="{A1FDE9B9-490D-4740-971A-DDD2CC74984E}">
      <formula1>"회의수당, 원고료,강사료,자문료,번역료,통역료,속기료,일용직활용비,피험자사례비,조사수당"</formula1>
    </dataValidation>
  </dataValidations>
  <pageMargins left="0.7" right="0.7" top="0.75" bottom="0.75" header="0.3" footer="0.3"/>
  <pageSetup paperSize="9" scale="68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5</xdr:col>
                    <xdr:colOff>457200</xdr:colOff>
                    <xdr:row>26</xdr:row>
                    <xdr:rowOff>177800</xdr:rowOff>
                  </from>
                  <to>
                    <xdr:col>5</xdr:col>
                    <xdr:colOff>660400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444500</xdr:colOff>
                    <xdr:row>34</xdr:row>
                    <xdr:rowOff>177800</xdr:rowOff>
                  </from>
                  <to>
                    <xdr:col>5</xdr:col>
                    <xdr:colOff>647700</xdr:colOff>
                    <xdr:row>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5</xdr:col>
                    <xdr:colOff>457200</xdr:colOff>
                    <xdr:row>27</xdr:row>
                    <xdr:rowOff>190500</xdr:rowOff>
                  </from>
                  <to>
                    <xdr:col>5</xdr:col>
                    <xdr:colOff>660400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10</xdr:col>
                    <xdr:colOff>139700</xdr:colOff>
                    <xdr:row>26</xdr:row>
                    <xdr:rowOff>177800</xdr:rowOff>
                  </from>
                  <to>
                    <xdr:col>10</xdr:col>
                    <xdr:colOff>330200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10</xdr:col>
                    <xdr:colOff>139700</xdr:colOff>
                    <xdr:row>27</xdr:row>
                    <xdr:rowOff>177800</xdr:rowOff>
                  </from>
                  <to>
                    <xdr:col>10</xdr:col>
                    <xdr:colOff>330200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10</xdr:col>
                    <xdr:colOff>152400</xdr:colOff>
                    <xdr:row>34</xdr:row>
                    <xdr:rowOff>177800</xdr:rowOff>
                  </from>
                  <to>
                    <xdr:col>10</xdr:col>
                    <xdr:colOff>355600</xdr:colOff>
                    <xdr:row>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5</xdr:col>
                    <xdr:colOff>457200</xdr:colOff>
                    <xdr:row>26</xdr:row>
                    <xdr:rowOff>177800</xdr:rowOff>
                  </from>
                  <to>
                    <xdr:col>5</xdr:col>
                    <xdr:colOff>660400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5</xdr:col>
                    <xdr:colOff>444500</xdr:colOff>
                    <xdr:row>34</xdr:row>
                    <xdr:rowOff>177800</xdr:rowOff>
                  </from>
                  <to>
                    <xdr:col>5</xdr:col>
                    <xdr:colOff>647700</xdr:colOff>
                    <xdr:row>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5</xdr:col>
                    <xdr:colOff>457200</xdr:colOff>
                    <xdr:row>27</xdr:row>
                    <xdr:rowOff>190500</xdr:rowOff>
                  </from>
                  <to>
                    <xdr:col>5</xdr:col>
                    <xdr:colOff>660400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10</xdr:col>
                    <xdr:colOff>139700</xdr:colOff>
                    <xdr:row>26</xdr:row>
                    <xdr:rowOff>177800</xdr:rowOff>
                  </from>
                  <to>
                    <xdr:col>10</xdr:col>
                    <xdr:colOff>330200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10</xdr:col>
                    <xdr:colOff>139700</xdr:colOff>
                    <xdr:row>27</xdr:row>
                    <xdr:rowOff>177800</xdr:rowOff>
                  </from>
                  <to>
                    <xdr:col>10</xdr:col>
                    <xdr:colOff>330200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10</xdr:col>
                    <xdr:colOff>152400</xdr:colOff>
                    <xdr:row>34</xdr:row>
                    <xdr:rowOff>177800</xdr:rowOff>
                  </from>
                  <to>
                    <xdr:col>10</xdr:col>
                    <xdr:colOff>355600</xdr:colOff>
                    <xdr:row>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29</xdr:col>
                    <xdr:colOff>558800</xdr:colOff>
                    <xdr:row>28</xdr:row>
                    <xdr:rowOff>177800</xdr:rowOff>
                  </from>
                  <to>
                    <xdr:col>29</xdr:col>
                    <xdr:colOff>762000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29</xdr:col>
                    <xdr:colOff>558800</xdr:colOff>
                    <xdr:row>27</xdr:row>
                    <xdr:rowOff>177800</xdr:rowOff>
                  </from>
                  <to>
                    <xdr:col>29</xdr:col>
                    <xdr:colOff>762000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28</xdr:col>
                    <xdr:colOff>0</xdr:colOff>
                    <xdr:row>27</xdr:row>
                    <xdr:rowOff>190500</xdr:rowOff>
                  </from>
                  <to>
                    <xdr:col>29</xdr:col>
                    <xdr:colOff>25400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28</xdr:col>
                    <xdr:colOff>0</xdr:colOff>
                    <xdr:row>28</xdr:row>
                    <xdr:rowOff>177800</xdr:rowOff>
                  </from>
                  <to>
                    <xdr:col>29</xdr:col>
                    <xdr:colOff>25400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29</xdr:col>
                    <xdr:colOff>558800</xdr:colOff>
                    <xdr:row>35</xdr:row>
                    <xdr:rowOff>177800</xdr:rowOff>
                  </from>
                  <to>
                    <xdr:col>29</xdr:col>
                    <xdr:colOff>762000</xdr:colOff>
                    <xdr:row>36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28</xdr:col>
                    <xdr:colOff>0</xdr:colOff>
                    <xdr:row>35</xdr:row>
                    <xdr:rowOff>190500</xdr:rowOff>
                  </from>
                  <to>
                    <xdr:col>29</xdr:col>
                    <xdr:colOff>25400</xdr:colOff>
                    <xdr:row>36</xdr:row>
                    <xdr:rowOff>203200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</vt:lpstr>
      <vt:lpstr>'17'!Print_Area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csnl_jhlim</dc:creator>
  <cp:lastModifiedBy>박준오</cp:lastModifiedBy>
  <dcterms:created xsi:type="dcterms:W3CDTF">2024-07-08T02:00:17Z</dcterms:created>
  <dcterms:modified xsi:type="dcterms:W3CDTF">2026-03-12T02:23:13Z</dcterms:modified>
</cp:coreProperties>
</file>